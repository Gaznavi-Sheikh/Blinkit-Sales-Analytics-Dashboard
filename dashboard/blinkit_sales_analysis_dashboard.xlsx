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Data Scientist\Blinkit Analysing Using Excel\"/>
    </mc:Choice>
  </mc:AlternateContent>
  <xr:revisionPtr revIDLastSave="0" documentId="13_ncr:1_{9E3392E3-6796-43B1-89FE-C8DAF889B7FD}" xr6:coauthVersionLast="47" xr6:coauthVersionMax="47" xr10:uidLastSave="{00000000-0000-0000-0000-000000000000}"/>
  <bookViews>
    <workbookView xWindow="-110" yWindow="-110" windowWidth="19420" windowHeight="10420" activeTab="1" xr2:uid="{F8420BDF-C08E-4FBB-891B-F574F63AC6D0}"/>
  </bookViews>
  <sheets>
    <sheet name="Dashboard Analysis" sheetId="2" r:id="rId1"/>
    <sheet name="Dashboard" sheetId="3" r:id="rId2"/>
    <sheet name="BlinkIT Grocery Data" sheetId="1" r:id="rId3"/>
  </sheets>
  <definedNames>
    <definedName name="_xlnm.Print_Area" localSheetId="1">Dashboard!$A$1:$AW$93</definedName>
    <definedName name="_xlchart.v2.0" hidden="1">'Dashboard Analysis'!$D$85:$D$87</definedName>
    <definedName name="_xlchart.v2.1" hidden="1">'Dashboard Analysis'!$E$84</definedName>
    <definedName name="_xlchart.v2.2" hidden="1">'Dashboard Analysis'!$E$85:$E$87</definedName>
    <definedName name="_xlchart.v2.3" hidden="1">'Dashboard Analysis'!$D$85:$D$87</definedName>
    <definedName name="_xlchart.v2.4" hidden="1">'Dashboard Analysis'!$E$84</definedName>
    <definedName name="_xlchart.v2.5" hidden="1">'Dashboard Analysis'!$E$85:$E$87</definedName>
    <definedName name="_xlchart.v2.6" hidden="1">'Dashboard Analysis'!$D$85:$D$87</definedName>
    <definedName name="_xlchart.v2.7" hidden="1">'Dashboard Analysis'!$E$84</definedName>
    <definedName name="_xlchart.v2.8" hidden="1">'Dashboard Analysis'!$E$85:$E$87</definedName>
    <definedName name="Slicer_Item_Type">#N/A</definedName>
    <definedName name="Slicer_Outlet_Location_Type">#N/A</definedName>
    <definedName name="Slicer_Outlet_Size">#N/A</definedName>
  </definedNames>
  <calcPr calcId="191029" fullCalcOnLoad="1"/>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<sst xmlns="http://schemas.openxmlformats.org/spreadsheetml/2006/main" count="59752" uniqueCount="1632">
  <si>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</si>
  <si>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</si>
  <si>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</si>
  <si>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</si>
  <si>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</si>
  <si>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</si>
  <si>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</si>
  <si>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</si>
  <si>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</si>
  <si>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</si>
  <si>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</si>
  <si>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</si>
  <si>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</si>
  <si>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</si>
  <si>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</si>
  <si>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</si>
  <si>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</si>
  <si>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</si>
  <si>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</si>
  <si>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</si>
  <si>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</si>
  <si>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</si>
  <si>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</si>
  <si>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</si>
  <si>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</si>
  <si>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</si>
  <si>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</si>
  <si>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</si>
  <si>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</si>
  <si>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</si>
  <si>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</si>
  <si>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</si>
  <si>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</si>
  <si>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</si>
  <si>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</si>
  <si>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</si>
  <si>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</si>
  <si>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</si>
  <si>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</si>
  <si>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</si>
  <si>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</si>
  <si>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</si>
  <si>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</si>
  <si>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</si>
  <si>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</si>
  <si>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</si>
  <si>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</si>
  <si>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</si>
  <si>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</si>
  <si>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</si>
  <si>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</si>
  <si>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</si>
  <si>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</si>
  <si>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</si>
  <si>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</si>
  <si>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</si>
  <si>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</si>
  <si>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</si>
  <si>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</si>
  <si>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</si>
  <si>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</si>
  <si>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</si>
  <si>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</si>
  <si>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</si>
  <si>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</si>
  <si>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</si>
  <si>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</si>
  <si>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</si>
  <si>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</si>
  <si>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</si>
  <si>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</si>
  <si>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</si>
  <si>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</si>
  <si>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</si>
  <si>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</si>
  <si>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</si>
  <si>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</si>
  <si>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</si>
  <si>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</si>
  <si>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</si>
  <si>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</si>
  <si>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</si>
  <si>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</si>
  <si>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</si>
  <si>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</si>
  <si>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</si>
  <si>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</si>
  <si>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</si>
  <si>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</si>
  <si>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</si>
  <si>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</si>
  <si>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</si>
  <si>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</si>
  <si>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</si>
  <si>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</si>
  <si>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</si>
  <si>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</si>
  <si>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</si>
  <si>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</si>
  <si>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</si>
  <si>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</si>
  <si>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</si>
  <si>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</si>
  <si>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</si>
  <si>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</si>
  <si>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</si>
  <si>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</si>
  <si>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</si>
  <si>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</si>
  <si>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</si>
  <si>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</si>
  <si>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</si>
  <si>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</si>
  <si>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</si>
  <si>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</si>
  <si>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</si>
  <si>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</si>
  <si>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</si>
  <si>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</si>
  <si>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</si>
  <si>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</si>
  <si>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</si>
  <si>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</si>
  <si>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</si>
  <si>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</si>
  <si>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</si>
  <si>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</si>
  <si>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</si>
  <si>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</si>
  <si>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</si>
  <si>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</si>
  <si>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</si>
  <si>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</si>
  <si>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</si>
  <si>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</si>
  <si>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</si>
  <si>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</si>
  <si>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</si>
  <si>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</si>
  <si>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</si>
  <si>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</si>
  <si>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</si>
  <si>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</si>
  <si>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</si>
  <si>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</si>
  <si>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</si>
  <si>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</si>
  <si>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</si>
  <si>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</si>
  <si>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</si>
  <si>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</si>
  <si>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</si>
  <si>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</si>
  <si>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</si>
  <si>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</si>
  <si>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</si>
  <si>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</si>
  <si>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</si>
  <si>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</si>
  <si>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</si>
  <si>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</si>
  <si>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</si>
  <si>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</si>
  <si>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</si>
  <si>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</si>
  <si>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</si>
  <si>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</si>
  <si>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</si>
  <si>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</si>
  <si>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</si>
  <si>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</si>
  <si>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</si>
  <si>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</si>
  <si>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</si>
  <si>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</si>
  <si>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</si>
  <si>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</si>
  <si>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</si>
  <si>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</si>
  <si>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</si>
  <si>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</si>
  <si>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</si>
  <si>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</si>
  <si>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</si>
  <si>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</si>
  <si>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</si>
  <si>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</si>
  <si>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</si>
  <si>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</si>
  <si>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</si>
  <si>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</si>
  <si>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</si>
  <si>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</si>
  <si>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</si>
  <si>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</si>
  <si>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</si>
  <si>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</si>
  <si>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</si>
  <si>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</si>
  <si>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</si>
  <si>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</si>
  <si>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</si>
  <si>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</si>
  <si>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</si>
  <si>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</si>
  <si>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</si>
  <si>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</si>
  <si>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</si>
  <si>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</si>
  <si>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</si>
  <si>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</si>
  <si>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</si>
  <si>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</si>
  <si>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</si>
  <si>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</si>
  <si>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</si>
  <si>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</si>
  <si>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</si>
  <si>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</si>
  <si>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</si>
  <si>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</si>
  <si>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</si>
  <si>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</si>
  <si>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</si>
  <si>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</si>
  <si>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</si>
  <si>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</si>
  <si>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</si>
  <si>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</si>
  <si>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</si>
  <si>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</si>
  <si>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</si>
  <si>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</si>
  <si>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</si>
  <si>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</si>
  <si>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</si>
  <si>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</si>
  <si>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</si>
  <si>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</si>
  <si>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</si>
  <si>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</si>
  <si>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</si>
  <si>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</si>
  <si>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</si>
  <si>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</si>
  <si>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</si>
  <si>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</si>
  <si>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</si>
  <si>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</si>
  <si>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</si>
  <si>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</si>
  <si>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</si>
  <si>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</si>
  <si>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</si>
  <si>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</si>
  <si>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</si>
  <si>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</si>
  <si>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</si>
  <si>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</si>
  <si>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</si>
  <si>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</si>
  <si>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</si>
  <si>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</si>
  <si>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</si>
  <si>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</si>
  <si>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</si>
  <si>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</si>
  <si>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</si>
  <si>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</si>
  <si>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</si>
  <si>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</si>
  <si>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</si>
  <si>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</si>
  <si>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</si>
  <si>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</si>
  <si>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</si>
  <si>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</si>
  <si>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</si>
  <si>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</si>
  <si>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</si>
  <si>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</si>
  <si>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</si>
  <si>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</si>
  <si>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</si>
  <si>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</si>
  <si>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</si>
  <si>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</si>
  <si>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</si>
  <si>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</si>
  <si>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</si>
  <si>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</si>
  <si>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</si>
  <si>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</si>
  <si>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</si>
  <si>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</si>
  <si>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</si>
  <si>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</si>
  <si>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</si>
  <si>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</si>
  <si>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</si>
  <si>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</si>
  <si>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</si>
  <si>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</si>
  <si>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</si>
  <si>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</si>
  <si>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</si>
  <si>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</si>
  <si>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</si>
  <si>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</si>
  <si>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</si>
  <si>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</si>
  <si>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</si>
  <si>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</si>
  <si>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</si>
  <si>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</si>
  <si>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</si>
  <si>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</si>
  <si>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</si>
  <si>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</si>
  <si>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</si>
  <si>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</si>
  <si>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</si>
  <si>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</si>
  <si>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</si>
  <si>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</si>
  <si>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</si>
  <si>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</si>
  <si>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</si>
  <si>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</si>
  <si>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</si>
  <si>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</si>
  <si>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</si>
  <si>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</si>
  <si>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</si>
  <si>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</si>
  <si>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</si>
  <si>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</si>
  <si>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</si>
  <si>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</si>
  <si>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</si>
  <si>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</si>
  <si>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</si>
  <si>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</si>
  <si>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</si>
  <si>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</si>
  <si>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</si>
  <si>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</si>
  <si>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</si>
  <si>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</si>
  <si>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</si>
  <si>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</si>
  <si>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</si>
  <si>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</si>
  <si>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</si>
  <si>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</si>
  <si>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</si>
  <si>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</si>
  <si>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</si>
  <si>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</si>
  <si>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</si>
  <si>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</si>
  <si>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</si>
  <si>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</si>
  <si>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</si>
  <si>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</si>
  <si>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</si>
  <si>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</si>
  <si>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</si>
  <si>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</si>
  <si>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</si>
  <si>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</si>
  <si>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</si>
  <si>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</si>
  <si>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</si>
  <si>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</si>
  <si>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</si>
  <si>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</si>
  <si>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</si>
  <si>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</si>
  <si>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</si>
  <si>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</si>
  <si>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</si>
  <si>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</si>
  <si>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</si>
  <si>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</si>
  <si>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</si>
  <si>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</si>
  <si>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</si>
  <si>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</si>
  <si>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</si>
  <si>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</si>
  <si>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</si>
  <si>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</si>
  <si>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</si>
  <si>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</si>
  <si>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</si>
  <si>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</si>
  <si>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</si>
  <si>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</si>
  <si>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</si>
  <si>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</si>
  <si>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</si>
  <si>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</si>
  <si>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</si>
  <si>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</si>
  <si>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</si>
  <si>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</si>
  <si>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</si>
  <si>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</si>
  <si>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</si>
  <si>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</si>
  <si>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</si>
  <si>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</si>
  <si>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</si>
  <si>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</si>
  <si>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</si>
  <si>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</si>
  <si>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</si>
  <si>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</si>
  <si>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</si>
  <si>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</si>
  <si>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</si>
  <si>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</si>
  <si>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</si>
  <si>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</si>
  <si>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</si>
  <si>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</si>
  <si>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</si>
  <si>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</si>
  <si>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</si>
  <si>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</si>
  <si>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</si>
  <si>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</si>
  <si>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</si>
  <si>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</si>
  <si>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</si>
  <si>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</si>
  <si>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</si>
  <si>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</si>
  <si>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</si>
  <si>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</si>
  <si>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</si>
  <si>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</si>
  <si>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</si>
  <si>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</si>
  <si>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</si>
  <si>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</si>
  <si>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</si>
  <si>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</si>
  <si>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</si>
  <si>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</si>
  <si>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</si>
  <si>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</si>
  <si>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</si>
  <si>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</si>
  <si>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</si>
  <si>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</si>
  <si>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</si>
  <si>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</si>
  <si>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</si>
  <si>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</si>
  <si>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</si>
  <si>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</si>
  <si>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</si>
  <si>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</si>
  <si>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</si>
  <si>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</si>
  <si>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</si>
  <si>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</si>
  <si>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</si>
  <si>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</si>
  <si>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</si>
  <si>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</si>
  <si>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</si>
  <si>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</si>
  <si>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</si>
  <si>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</si>
  <si>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</si>
  <si>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</si>
  <si>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</si>
  <si>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</si>
  <si>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</si>
  <si>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</si>
  <si>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</si>
  <si>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</si>
  <si>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</si>
  <si>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</si>
  <si>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</si>
  <si>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</si>
  <si>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</si>
  <si>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</si>
  <si>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</si>
  <si>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</si>
  <si>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</si>
  <si>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</si>
  <si>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</si>
  <si>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</si>
  <si>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</si>
  <si>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</si>
  <si>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</si>
  <si>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</si>
  <si>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</si>
  <si>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</si>
  <si>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</si>
  <si>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</si>
  <si>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</si>
  <si>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</si>
  <si>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</si>
  <si>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</si>
  <si>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</si>
  <si>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</si>
  <si>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</si>
  <si>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</si>
  <si>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</si>
  <si>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</si>
  <si>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</si>
  <si>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</si>
  <si>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</si>
  <si>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</si>
  <si>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</si>
  <si>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</si>
  <si>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</si>
  <si>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</si>
  <si>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</si>
  <si>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</si>
  <si>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</si>
  <si>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</si>
  <si>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</si>
  <si>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</si>
  <si>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</si>
  <si>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</si>
  <si>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</si>
  <si>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</si>
  <si>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</si>
  <si>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</si>
  <si>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</si>
  <si>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</si>
  <si>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</si>
  <si>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</si>
  <si>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</si>
  <si>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</si>
  <si>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</si>
  <si>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</si>
  <si>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</si>
  <si>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</si>
  <si>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</si>
  <si>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</si>
  <si>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</si>
  <si>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</si>
  <si>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</si>
  <si>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</si>
  <si>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</si>
  <si>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</si>
  <si>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</si>
  <si>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</si>
  <si>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</si>
  <si>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</si>
  <si>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</si>
  <si>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</si>
  <si>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</si>
  <si>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</si>
  <si>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</si>
  <si>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</si>
  <si>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</si>
  <si>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</si>
  <si>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</si>
  <si>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</si>
  <si>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</si>
  <si>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</si>
  <si>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</si>
  <si>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</si>
  <si>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</si>
  <si>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</si>
  <si>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</si>
  <si>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</si>
  <si>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</si>
  <si>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</si>
  <si>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</si>
  <si>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</si>
  <si>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</si>
  <si>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</si>
  <si>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</si>
  <si>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</si>
  <si>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</si>
  <si>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</si>
  <si>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</si>
  <si>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</si>
  <si>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</si>
  <si>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</si>
  <si>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</si>
  <si>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</si>
  <si>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</si>
  <si>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</si>
  <si>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</si>
  <si>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</si>
  <si>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</si>
  <si>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</si>
  <si>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</si>
  <si>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</si>
  <si>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</si>
  <si>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</si>
  <si>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</si>
  <si>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</si>
  <si>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</si>
  <si>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</si>
  <si>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</si>
  <si>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</si>
  <si>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</si>
  <si>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</si>
  <si>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</si>
  <si>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</si>
  <si>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</si>
  <si>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</si>
  <si>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</si>
  <si>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</si>
  <si>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</si>
  <si>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</si>
  <si>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</si>
  <si>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</si>
  <si>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</si>
  <si>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</si>
  <si>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</si>
  <si>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</si>
  <si>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</si>
  <si>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</si>
  <si>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</si>
  <si>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</si>
  <si>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</si>
  <si>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</si>
  <si>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</si>
  <si>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</si>
  <si>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</si>
  <si>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</si>
  <si>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</si>
  <si>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</si>
  <si>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</si>
  <si>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</si>
  <si>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</si>
  <si>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</si>
  <si>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</si>
  <si>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</si>
  <si>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</si>
  <si>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</si>
  <si>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</si>
  <si>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</si>
  <si>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</si>
  <si>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</si>
  <si>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</si>
  <si>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</si>
  <si>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</si>
  <si>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</si>
  <si>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</si>
  <si>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</si>
  <si>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</si>
  <si>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</si>
  <si>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</si>
  <si>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</si>
  <si>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</si>
  <si>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</si>
  <si>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</si>
  <si>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</si>
  <si>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</si>
  <si>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</si>
  <si>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</si>
  <si>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</si>
  <si>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</si>
  <si>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</si>
  <si>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</si>
  <si>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</si>
  <si>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</si>
  <si>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</si>
  <si>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</si>
  <si>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</si>
  <si>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</si>
  <si>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</si>
  <si>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</si>
  <si>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</si>
  <si>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</si>
  <si>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</si>
  <si>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</si>
  <si>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</si>
  <si>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</si>
  <si>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</si>
  <si>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</si>
  <si>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</si>
  <si>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</si>
  <si>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</si>
  <si>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</si>
  <si>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</si>
  <si>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</si>
  <si>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</si>
  <si>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</si>
  <si>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</si>
  <si>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</si>
  <si>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</si>
  <si>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</si>
  <si>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</si>
  <si>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</si>
  <si>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</si>
  <si>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</si>
  <si>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</si>
  <si>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</si>
  <si>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</si>
  <si>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</si>
  <si>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</si>
  <si>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</si>
  <si>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</si>
  <si>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</si>
  <si>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</si>
  <si>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</si>
  <si>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</si>
  <si>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</si>
  <si>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</si>
  <si>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</si>
  <si>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</si>
  <si>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</si>
  <si>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</si>
  <si>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</si>
  <si>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</si>
  <si>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</si>
  <si>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</si>
  <si>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</si>
  <si>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</si>
  <si>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</si>
  <si>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</si>
  <si>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</si>
  <si>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</si>
  <si>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</si>
  <si>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</si>
  <si>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</si>
  <si>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</si>
  <si>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</si>
  <si>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</si>
  <si>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</si>
  <si>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</si>
  <si>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</si>
  <si>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</si>
  <si>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</si>
  <si>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</si>
  <si>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</si>
  <si>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</si>
  <si>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</si>
  <si>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</si>
  <si>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</si>
  <si>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</si>
  <si>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</si>
  <si>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</si>
  <si>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</si>
  <si>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</si>
  <si>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</si>
  <si>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</si>
  <si>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</si>
  <si>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</si>
  <si>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</si>
  <si>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</si>
  <si>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</si>
  <si>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</si>
  <si>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</si>
  <si>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</si>
  <si>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</si>
  <si>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</si>
  <si>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</si>
  <si>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</si>
  <si>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</si>
  <si>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</si>
  <si>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</si>
  <si>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</si>
  <si>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</si>
  <si>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</si>
  <si>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</si>
  <si>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</si>
  <si>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</si>
  <si>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</si>
  <si>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</si>
  <si>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</si>
  <si>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</si>
  <si>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</si>
  <si>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</si>
  <si>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</si>
  <si>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</si>
  <si>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</si>
  <si>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</si>
  <si>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</si>
  <si>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</si>
  <si>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</si>
  <si>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</si>
  <si>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</si>
  <si>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</si>
  <si>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</si>
  <si>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</si>
  <si>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</si>
  <si>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</si>
  <si>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</si>
  <si>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</si>
  <si>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</si>
  <si>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</si>
  <si>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</si>
  <si>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</si>
  <si>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</si>
  <si>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</si>
  <si>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</si>
  <si>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</si>
  <si>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</si>
  <si>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</si>
  <si>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</si>
  <si>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</si>
  <si>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</si>
  <si>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</si>
  <si>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</si>
  <si>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</si>
  <si>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</si>
  <si>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</si>
  <si>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</si>
  <si>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</si>
  <si>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</si>
  <si>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</si>
  <si>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</si>
  <si>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</si>
  <si>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</si>
  <si>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</si>
  <si>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</si>
  <si>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</si>
  <si>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</si>
  <si>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</si>
  <si>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</si>
  <si>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</si>
  <si>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</si>
  <si>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</si>
  <si>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</si>
  <si>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</si>
  <si>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</si>
  <si>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</si>
  <si>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</si>
  <si>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</si>
  <si>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</si>
  <si>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</si>
  <si>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</si>
  <si>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</si>
  <si>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</si>
  <si>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</si>
  <si>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</si>
  <si>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</si>
  <si>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</si>
  <si>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</si>
  <si>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</si>
  <si>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</si>
  <si>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</si>
  <si>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</si>
  <si>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</si>
  <si>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</si>
  <si>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</si>
  <si>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</si>
  <si>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</si>
  <si>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</si>
  <si>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</si>
  <si>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</si>
  <si>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</si>
  <si>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</si>
  <si>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</si>
  <si>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</si>
  <si>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</si>
  <si>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</si>
  <si>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</si>
  <si>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</si>
  <si>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</si>
  <si>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</si>
  <si>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</si>
  <si>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</si>
  <si>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</si>
  <si>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</si>
  <si>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</si>
  <si>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</si>
  <si>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</si>
  <si>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</si>
  <si>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</si>
  <si>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</si>
  <si>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</si>
  <si>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</si>
  <si>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</si>
  <si>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</si>
  <si>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</si>
  <si>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</si>
  <si>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</si>
  <si>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</si>
  <si>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</si>
  <si>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</si>
  <si>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</si>
  <si>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</si>
  <si>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</si>
  <si>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</si>
  <si>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</si>
  <si>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</si>
  <si>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</si>
  <si>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</si>
  <si>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</si>
  <si>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</si>
  <si>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</si>
  <si>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</si>
  <si>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</si>
  <si>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</si>
  <si>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</si>
  <si>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</si>
  <si>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</si>
  <si>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</si>
  <si>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</si>
  <si>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</si>
  <si>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</si>
  <si>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</si>
  <si>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</si>
  <si>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</si>
  <si>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</si>
  <si>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</si>
  <si>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</si>
  <si>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</si>
  <si>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</si>
  <si>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</si>
  <si>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</si>
  <si>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</si>
  <si>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</si>
  <si>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</si>
  <si>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</si>
  <si>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</si>
  <si>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</si>
  <si>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</si>
  <si>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</si>
  <si>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</si>
  <si>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</si>
  <si>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</si>
  <si>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</si>
  <si>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</si>
  <si>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</si>
  <si>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</si>
  <si>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</si>
  <si>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</si>
  <si>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</si>
  <si>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</si>
  <si>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</si>
  <si>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</si>
  <si>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</si>
  <si>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</si>
  <si>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</si>
  <si>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</si>
  <si>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</si>
  <si>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</si>
  <si>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</si>
  <si>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</si>
  <si>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</si>
  <si>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</si>
  <si>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</si>
  <si>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</si>
  <si>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</si>
  <si>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</si>
  <si>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</si>
  <si>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</si>
  <si>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</si>
  <si>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</si>
  <si>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</si>
  <si>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</si>
  <si>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</si>
  <si>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</si>
  <si>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</si>
  <si>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</si>
  <si>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</si>
  <si>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</si>
  <si>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</si>
  <si>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</si>
  <si>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</si>
  <si>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</si>
  <si>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</si>
  <si>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</si>
  <si>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</si>
  <si>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</si>
  <si>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</si>
  <si>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</si>
  <si>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</si>
  <si>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</si>
  <si>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</si>
  <si>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</si>
  <si>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</si>
  <si>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</si>
  <si>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</si>
  <si>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</si>
  <si>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</si>
  <si>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</si>
  <si>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</si>
  <si>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</si>
  <si>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</si>
  <si>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</si>
  <si>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</si>
  <si>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</si>
  <si>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</si>
  <si>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</si>
  <si>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</si>
  <si>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</si>
  <si>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</si>
  <si>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</si>
  <si>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</si>
  <si>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</si>
  <si>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</si>
  <si>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</si>
  <si>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</si>
  <si>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</si>
  <si>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</si>
  <si>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</si>
  <si>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</si>
  <si>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</si>
  <si>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</si>
  <si>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</si>
  <si>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</si>
  <si>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</si>
  <si>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</si>
  <si>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</si>
  <si>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</si>
  <si>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</si>
  <si>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</si>
  <si>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</si>
  <si>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</si>
  <si>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</si>
  <si>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</si>
  <si>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</si>
  <si>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</si>
  <si>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</si>
  <si>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</si>
  <si>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</si>
  <si>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</si>
  <si>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</si>
  <si>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</si>
  <si>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</si>
  <si>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</si>
  <si>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</si>
  <si>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</si>
  <si>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</si>
  <si>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</si>
  <si>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</si>
  <si>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</si>
  <si>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</si>
  <si>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</si>
  <si>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</si>
  <si>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</si>
  <si>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</si>
  <si>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</si>
  <si>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</si>
  <si>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</si>
  <si>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</si>
  <si>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</si>
  <si>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</si>
  <si>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</si>
  <si>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</si>
  <si>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</si>
  <si>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</si>
  <si>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</si>
  <si>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</si>
  <si>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</si>
  <si>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</si>
  <si>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</si>
  <si>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</si>
  <si>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</si>
  <si>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</si>
  <si>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</si>
  <si>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</si>
  <si>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</si>
  <si>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</si>
  <si>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</si>
  <si>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</si>
  <si>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</si>
  <si>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</si>
  <si>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</si>
  <si>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</si>
  <si>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</si>
  <si>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</si>
  <si>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</si>
  <si>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</si>
  <si>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</si>
  <si>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</si>
  <si>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</si>
  <si>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</si>
  <si>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</si>
  <si>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</si>
  <si>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</si>
  <si>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</si>
  <si>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</si>
  <si>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</si>
  <si>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</si>
  <si>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</si>
  <si>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</si>
  <si>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</si>
  <si>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</si>
  <si>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</si>
  <si>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</si>
  <si>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</si>
  <si>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</si>
  <si>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</si>
  <si>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</si>
  <si>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</si>
  <si>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</si>
  <si>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</si>
  <si>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</si>
  <si>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</si>
  <si>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</si>
  <si>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</si>
  <si>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</si>
  <si>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</si>
  <si>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</si>
  <si>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</si>
  <si>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</si>
  <si>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</si>
  <si>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</si>
  <si>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</si>
  <si>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</si>
  <si>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</si>
  <si>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</si>
  <si>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</si>
  <si>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</si>
  <si>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</si>
  <si>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</si>
  <si>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</si>
  <si>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</si>
  <si>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</si>
  <si>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</si>
  <si>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</si>
  <si>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</si>
  <si>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</si>
  <si>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</si>
  <si>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</si>
  <si>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</si>
  <si>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</si>
  <si>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</si>
  <si>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</si>
  <si>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</si>
  <si>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</si>
  <si>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</si>
  <si>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</si>
  <si>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</si>
  <si>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</si>
  <si>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</si>
  <si>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</si>
  <si>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</si>
  <si>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</si>
  <si>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</si>
  <si>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</si>
  <si>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</si>
  <si>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</si>
  <si>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</si>
  <si>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</si>
  <si>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</si>
  <si>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</si>
  <si>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</si>
  <si>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</si>
  <si>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</si>
  <si>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</si>
  <si>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</si>
  <si>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</si>
  <si>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</si>
  <si>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</si>
  <si>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</si>
  <si>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</si>
  <si>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</si>
  <si>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</si>
  <si>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</si>
  <si>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</si>
  <si>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</si>
  <si>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</si>
  <si>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</si>
  <si>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</si>
  <si>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</si>
  <si>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</si>
  <si>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</si>
  <si>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</si>
  <si>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</si>
  <si>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</si>
  <si>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</si>
  <si>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</si>
  <si>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</si>
  <si>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</si>
  <si>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</si>
  <si>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</si>
  <si>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</si>
  <si>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</si>
  <si>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</si>
  <si>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</si>
  <si>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</si>
  <si>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</si>
  <si>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</si>
  <si>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</si>
  <si>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</si>
  <si>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</si>
  <si>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</si>
  <si>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</si>
  <si>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</si>
  <si>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</si>
  <si>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</si>
  <si>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</si>
  <si>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</si>
  <si>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</si>
  <si>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</si>
  <si>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</si>
  <si>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</si>
  <si>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</si>
  <si>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</si>
  <si>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</si>
  <si>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</si>
  <si>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</si>
  <si>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</si>
  <si>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</si>
  <si>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</si>
  <si>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</si>
  <si>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</si>
  <si>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</si>
  <si>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</si>
  <si>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</si>
  <si>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</si>
  <si>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</si>
  <si>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</si>
  <si>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</si>
  <si>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</si>
  <si>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</si>
  <si>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</si>
  <si>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</si>
  <si>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</si>
  <si>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</si>
  <si>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</si>
  <si>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</si>
  <si>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</si>
  <si>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</si>
  <si>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</si>
  <si>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</si>
  <si>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</si>
  <si>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</si>
  <si>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</si>
  <si>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</si>
  <si>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</si>
  <si>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</si>
  <si>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</si>
  <si>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</si>
  <si>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</si>
  <si>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</si>
  <si>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</si>
  <si>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</si>
  <si>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</si>
  <si>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</si>
  <si>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</si>
  <si>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</si>
  <si>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</si>
  <si>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</si>
  <si>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</si>
  <si>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</si>
  <si>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</si>
  <si>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</si>
  <si>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</si>
  <si>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</si>
  <si>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</si>
  <si>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</si>
  <si>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</si>
  <si>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</si>
  <si>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</si>
  <si>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</si>
  <si>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</si>
  <si>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</si>
  <si>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</si>
  <si>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</si>
  <si>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</si>
  <si>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</si>
  <si>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</si>
  <si>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</si>
  <si>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</si>
  <si>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</si>
  <si>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</si>
  <si>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</si>
  <si>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</si>
  <si>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</si>
  <si>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</si>
  <si>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</si>
  <si>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</si>
  <si>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</si>
  <si>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</si>
  <si>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</si>
  <si>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</si>
  <si>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</si>
  <si>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</si>
  <si>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</si>
  <si>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</si>
  <si>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</si>
  <si>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</si>
  <si>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</si>
  <si>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</si>
  <si>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</si>
  <si>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</si>
  <si>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</si>
  <si>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</si>
  <si>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</si>
  <si>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</si>
  <si>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</si>
  <si>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</si>
  <si>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</si>
  <si>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</si>
  <si>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</si>
  <si>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</si>
  <si>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</si>
  <si>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</si>
  <si>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</si>
  <si>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</si>
  <si>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</si>
  <si>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</si>
  <si>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</si>
  <si>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</si>
  <si>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</si>
  <si>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</si>
  <si>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</si>
  <si>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</si>
  <si>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</si>
  <si>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</si>
  <si>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</si>
  <si>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</si>
  <si>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</si>
  <si>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</si>
  <si>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</si>
  <si>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</si>
  <si>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</si>
  <si>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</si>
  <si>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</si>
  <si>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</si>
  <si>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</si>
  <si>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</si>
  <si>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</si>
  <si>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</si>
  <si>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</si>
  <si>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</si>
  <si>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</si>
  <si>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</si>
  <si>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</si>
  <si>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</si>
  <si>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</si>
  <si>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</si>
  <si>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</si>
  <si>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</si>
  <si>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</si>
  <si>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</si>
  <si>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</si>
  <si>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</si>
  <si>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</si>
  <si>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</si>
  <si>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</si>
  <si>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</si>
  <si>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</si>
  <si>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</si>
  <si>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</si>
  <si>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</si>
  <si>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</si>
  <si>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</si>
  <si>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</si>
  <si>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</si>
  <si>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</si>
  <si>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</si>
  <si>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</si>
  <si>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</si>
  <si>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</si>
  <si>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</si>
  <si>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</si>
  <si>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</si>
  <si>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</si>
  <si>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</si>
  <si>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</si>
  <si>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</si>
  <si>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</si>
  <si>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</si>
  <si>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</si>
  <si>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</si>
  <si>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</si>
  <si>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</si>
  <si>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</si>
  <si>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</si>
  <si>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</si>
  <si>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</si>
  <si>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</si>
  <si>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</si>
  <si>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</si>
  <si>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</si>
  <si>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</si>
  <si>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</si>
  <si>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</si>
  <si>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</si>
  <si>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</si>
  <si>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</si>
  <si>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</si>
  <si>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</si>
  <si>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</si>
  <si>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</si>
  <si>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</si>
  <si>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</si>
  <si>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</si>
  <si>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</si>
  <si>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</si>
  <si>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</si>
  <si>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</si>
  <si>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</si>
  <si>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</si>
  <si>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</si>
  <si>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</si>
  <si>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</si>
  <si>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</si>
  <si>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</si>
  <si>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</si>
  <si>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</si>
  <si>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</si>
  <si>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</si>
  <si>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</si>
  <si>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</si>
  <si>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</si>
  <si>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</si>
  <si>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</si>
  <si>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</si>
  <si>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</si>
  <si>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</si>
  <si>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</si>
  <si>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</si>
  <si>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</si>
  <si>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</si>
  <si>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</si>
  <si>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</si>
  <si>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</si>
  <si>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</si>
  <si>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</si>
  <si>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</si>
  <si>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</si>
  <si>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</si>
  <si>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</si>
  <si>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</si>
  <si>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</si>
  <si>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</si>
  <si>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</si>
  <si>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</si>
  <si>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</si>
  <si>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</si>
  <si>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</si>
  <si>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</si>
  <si>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</si>
  <si>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</si>
  <si>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</si>
  <si>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</si>
  <si>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</si>
  <si>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</si>
  <si>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</si>
  <si>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</si>
  <si>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</si>
  <si>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</si>
  <si>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</si>
  <si>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</si>
  <si>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</si>
  <si>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</si>
  <si>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</si>
  <si>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</si>
  <si>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</si>
  <si>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</si>
  <si>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</si>
  <si>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</si>
  <si>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</si>
  <si>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</si>
  <si>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</si>
  <si>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</si>
  <si>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</si>
  <si>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</si>
  <si>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</si>
  <si>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</si>
  <si>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</si>
  <si>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</si>
  <si>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</si>
  <si>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</si>
  <si>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</si>
  <si>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</si>
  <si>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</si>
  <si>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</si>
  <si>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</si>
  <si>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</si>
  <si>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</si>
  <si>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</si>
  <si>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</si>
  <si>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</si>
  <si>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</si>
  <si>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</si>
  <si>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</si>
  <si>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</si>
  <si>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</si>
  <si>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</si>
  <si>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</si>
  <si>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</si>
  <si>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</si>
  <si>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</si>
  <si>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</si>
  <si>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</si>
  <si>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</si>
  <si>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</si>
  <si>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</si>
  <si>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</si>
  <si>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</si>
  <si>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</si>
  <si>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</si>
  <si>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</si>
  <si>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</si>
  <si>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</si>
  <si>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</si>
  <si>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</si>
  <si>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</si>
  <si>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</si>
  <si>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</si>
  <si>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</si>
  <si>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</si>
  <si>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</si>
  <si>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</si>
  <si>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</si>
  <si>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</si>
  <si>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</si>
  <si>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</si>
  <si>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</si>
  <si>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</si>
  <si>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</si>
  <si>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</si>
  <si>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</si>
  <si>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</si>
  <si>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</si>
  <si>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</si>
  <si>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</si>
  <si>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</si>
  <si>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</si>
  <si>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</si>
  <si>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</si>
  <si>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</si>
  <si>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</si>
  <si>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</si>
  <si>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</si>
  <si>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</si>
  <si>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</si>
  <si>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</si>
  <si>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</si>
  <si>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</si>
  <si>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</si>
  <si>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</si>
  <si>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</si>
  <si>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</si>
  <si>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</si>
  <si>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</si>
  <si>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</si>
  <si>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</si>
  <si>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</si>
  <si>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</si>
  <si>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</si>
  <si>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</si>
  <si>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</si>
  <si>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</si>
  <si>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</si>
  <si>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</si>
  <si>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</si>
  <si>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</si>
  <si>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</si>
  <si>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</si>
  <si>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</si>
  <si>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</si>
  <si>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</si>
  <si>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</si>
  <si>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</si>
  <si>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</si>
  <si>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</si>
  <si>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</si>
  <si>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</si>
  <si>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</si>
  <si>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</si>
  <si>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</si>
  <si>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</si>
  <si>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</si>
  <si>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</si>
  <si>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</si>
  <si>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</si>
  <si>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</si>
  <si>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</si>
  <si>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</si>
  <si>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</si>
  <si>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</si>
  <si>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</si>
  <si>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</si>
  <si>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</si>
  <si>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</si>
  <si>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</si>
  <si>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</si>
  <si>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</si>
  <si>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</si>
  <si>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</si>
  <si>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</si>
  <si>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</si>
  <si>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</si>
  <si>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</si>
  <si>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</si>
  <si>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</si>
  <si>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</si>
  <si>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</si>
  <si>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</si>
  <si>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</si>
  <si>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</si>
  <si>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</si>
  <si>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</si>
  <si>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</si>
  <si>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</si>
  <si>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</si>
  <si>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</si>
  <si>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</si>
  <si>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</si>
  <si>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</si>
  <si>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</si>
  <si>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</si>
  <si>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</si>
  <si>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</si>
  <si>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</si>
  <si>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Sales</t>
  </si>
  <si>
    <t>Sum of Total Sales</t>
  </si>
  <si>
    <t>Sr No</t>
  </si>
  <si>
    <t>Number of Items</t>
  </si>
  <si>
    <t>Average of Rating</t>
  </si>
  <si>
    <t>Total Sales</t>
  </si>
  <si>
    <t>Avg Sales</t>
  </si>
  <si>
    <t>No of Items</t>
  </si>
  <si>
    <t>Avg Rating</t>
  </si>
  <si>
    <t>KPI Table (PivotTable)</t>
  </si>
  <si>
    <t>Row Labels</t>
  </si>
  <si>
    <t>Sum of Sales</t>
  </si>
  <si>
    <t>Total Sales by Fat Content</t>
  </si>
  <si>
    <t>Total Sales by Item Type</t>
  </si>
  <si>
    <t>Column Labels</t>
  </si>
  <si>
    <t>Total Sales by Outlet Establishment</t>
  </si>
  <si>
    <t>Sales by Outlet Size</t>
  </si>
  <si>
    <t>Outlet Location</t>
  </si>
  <si>
    <t>Total Sales by Outlet Location Type</t>
  </si>
  <si>
    <t>Average of Sales</t>
  </si>
  <si>
    <t>Count of Sr No</t>
  </si>
  <si>
    <t>All Matrics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</si>
</sst>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0"/>
    <numFmt numFmtId="166" formatCode="#,##0.00;-#,##0.00"/>
    <numFmt numFmtId="167" formatCode="#,##0.00;-#,##0.00;0.00"/>
  </numFmts>
  <fonts count="3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b/>
      <sz val="22"/>
      <color rgb="FFFFFFFF"/>
      <name val="Calibri"/>
      <family val="2"/>
    </font>
    <font>
      <sz val="12"/>
      <color rgb="FFEAE9FF"/>
      <name val="Calibri"/>
      <family val="2"/>
    </font>
    <font>
      <sz val="10"/>
      <color rgb="FFEAE9FF"/>
      <name val="Calibri"/>
      <family val="2"/>
    </font>
    <font>
      <b/>
      <sz val="11"/>
      <color rgb="FF625BEE"/>
      <name val="Calibri"/>
      <family val="2"/>
    </font>
    <font>
      <sz val="9"/>
      <color rgb="FF737990"/>
      <name val="Calibri"/>
      <family val="2"/>
    </font>
    <font>
      <b/>
      <sz val="10"/>
      <color rgb="FF737990"/>
      <name val="Calibri"/>
      <family val="2"/>
    </font>
    <font>
      <b/>
      <sz val="28"/>
      <color rgb="FF20243A"/>
      <name val="Calibri"/>
      <family val="2"/>
    </font>
    <font>
      <b/>
      <sz val="11"/>
      <color rgb="FF20243A"/>
      <name val="Calibri"/>
      <family val="2"/>
    </font>
    <font>
      <u/>
      <sz val="11"/>
      <color rgb="FF625BEE"/>
      <name val="Calibri"/>
      <family val="2"/>
    </font>
    <font>
      <b/>
      <sz val="16"/>
      <color rgb="FF20243A"/>
      <name val="Calibri"/>
      <family val="2"/>
    </font>
    <font>
      <i/>
      <sz val="10"/>
      <color rgb="FF737990"/>
      <name val="Calibri"/>
      <family val="2"/>
    </font>
    <font>
      <b/>
      <sz val="12"/>
      <color rgb="FFFFFFFF"/>
      <name val="Calibri"/>
      <family val="2"/>
    </font>
    <font>
      <sz val="11"/>
      <color rgb="FF20243A"/>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625BEE"/>
        <bgColor indexed="64"/>
      </patternFill>
    </fill>
    <fill>
      <patternFill patternType="solid">
        <fgColor rgb="FFF7F7FF"/>
        <bgColor indexed="64"/>
      </patternFill>
    </fill>
    <fill>
      <patternFill patternType="solid">
        <fgColor rgb="FFFFFFFF"/>
        <bgColor indexed="64"/>
      </patternFill>
    </fill>
    <fill>
      <patternFill patternType="solid">
        <fgColor rgb="FFEAE9FF"/>
        <bgColor indexed="64"/>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rgb="FFE8E8F2"/>
      </left>
      <right/>
      <top style="thin">
        <color rgb="FFE8E8F2"/>
      </top>
      <bottom/>
      <diagonal/>
    </border>
    <border>
      <left/>
      <right/>
      <top style="thin">
        <color rgb="FFE8E8F2"/>
      </top>
      <bottom/>
      <diagonal/>
    </border>
    <border>
      <left/>
      <right style="thin">
        <color rgb="FFE8E8F2"/>
      </right>
      <top style="thin">
        <color rgb="FFE8E8F2"/>
      </top>
      <bottom/>
      <diagonal/>
    </border>
    <border>
      <left style="thin">
        <color rgb="FFE8E8F2"/>
      </left>
      <right/>
      <top/>
      <bottom/>
      <diagonal/>
    </border>
    <border>
      <left/>
      <right style="thin">
        <color rgb="FFE8E8F2"/>
      </right>
      <top/>
      <bottom/>
      <diagonal/>
    </border>
    <border>
      <left style="thin">
        <color rgb="FFE8E8F2"/>
      </left>
      <right/>
      <top/>
      <bottom style="thin">
        <color rgb="FFE8E8F2"/>
      </bottom>
      <diagonal/>
    </border>
    <border>
      <left/>
      <right/>
      <top/>
      <bottom style="thin">
        <color rgb="FFE8E8F2"/>
      </bottom>
      <diagonal/>
    </border>
    <border>
      <left/>
      <right style="thin">
        <color rgb="FFE8E8F2"/>
      </right>
      <top/>
      <bottom style="thin">
        <color rgb="FFE8E8F2"/>
      </bottom>
      <diagonal/>
    </border>
    <border>
      <left style="medium">
        <color rgb="FF625BEE"/>
      </left>
      <right/>
      <top style="thin">
        <color rgb="FFE8E8F2"/>
      </top>
      <bottom/>
      <diagonal/>
    </border>
    <border>
      <left style="medium">
        <color rgb="FF625BEE"/>
      </left>
      <right/>
      <top/>
      <bottom/>
      <diagonal/>
    </border>
    <border>
      <left style="medium">
        <color rgb="FF625BEE"/>
      </left>
      <right/>
      <top/>
      <bottom style="thin">
        <color rgb="FFE8E8F2"/>
      </bottom>
      <diagonal/>
    </border>
    <border>
      <left style="thin">
        <color rgb="FFE8E8F2"/>
      </left>
      <right/>
      <top style="thin">
        <color rgb="FFE8E8F2"/>
      </top>
      <bottom style="thin">
        <color rgb="FFE8E8F2"/>
      </bottom>
      <diagonal/>
    </border>
    <border>
      <left/>
      <right/>
      <top style="thin">
        <color rgb="FFE8E8F2"/>
      </top>
      <bottom style="thin">
        <color rgb="FFE8E8F2"/>
      </bottom>
      <diagonal/>
    </border>
    <border>
      <left/>
      <right style="thin">
        <color rgb="FFE8E8F2"/>
      </right>
      <top style="thin">
        <color rgb="FFE8E8F2"/>
      </top>
      <bottom style="thin">
        <color rgb="FFE8E8F2"/>
      </bottom>
      <diagonal/>
    </border>
    <border>
      <left/>
      <right/>
      <top/>
      <bottom style="thin">
        <color rgb="FF625BEE"/>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4">
    <xf numFmtId="0" fontId="0" fillId="0" borderId="0" xfId="0"/>
    <xf numFmtId="0" fontId="0" fillId="0" borderId="0" xfId="0" applyBorder="1"/>
    <xf numFmtId="0" fontId="0" fillId="0" borderId="14" xfId="0" applyBorder="1"/>
    <xf numFmtId="0" fontId="0" fillId="0" borderId="13" xfId="0" applyBorder="1"/>
    <xf numFmtId="0" fontId="0" fillId="0" borderId="16" xfId="0" applyBorder="1"/>
    <xf numFmtId="165" fontId="0" fillId="0" borderId="16" xfId="0" applyNumberFormat="1" applyBorder="1"/>
    <xf numFmtId="164" fontId="0" fillId="0" borderId="17" xfId="0" applyNumberFormat="1" applyBorder="1"/>
    <xf numFmtId="0" fontId="18" fillId="0" borderId="0" xfId="0" applyFont="1" applyFill="1" applyBorder="1" applyAlignment="1">
      <alignment vertical="center"/>
    </xf>
    <xf numFmtId="0" fontId="0" fillId="0" borderId="19" xfId="0" applyNumberFormat="1" applyBorder="1"/>
    <xf numFmtId="0" fontId="0" fillId="0" borderId="18" xfId="0" applyNumberFormat="1" applyBorder="1"/>
    <xf numFmtId="0" fontId="0" fillId="0" borderId="20" xfId="0" applyNumberFormat="1" applyBorder="1"/>
    <xf numFmtId="0" fontId="0" fillId="0" borderId="19" xfId="0" applyBorder="1"/>
    <xf numFmtId="0" fontId="0" fillId="0" borderId="18" xfId="0" applyBorder="1"/>
    <xf numFmtId="0" fontId="0" fillId="0" borderId="20" xfId="0" applyBorder="1"/>
    <xf numFmtId="166" fontId="0" fillId="0" borderId="15" xfId="0" applyNumberFormat="1" applyBorder="1"/>
    <xf numFmtId="0" fontId="0" fillId="0" borderId="11" xfId="0" applyBorder="1"/>
    <xf numFmtId="0" fontId="0" fillId="0" borderId="12" xfId="0" applyBorder="1"/>
    <xf numFmtId="0" fontId="0" fillId="0" borderId="23" xfId="0" applyBorder="1" applyAlignment="1">
      <alignment horizontal="left"/>
    </xf>
    <xf numFmtId="0" fontId="0" fillId="0" borderId="15" xfId="0" applyBorder="1"/>
    <xf numFmtId="0" fontId="0" fillId="0" borderId="17" xfId="0" applyBorder="1"/>
    <xf numFmtId="0" fontId="0" fillId="0" borderId="21" xfId="0" pivotButton="1" applyBorder="1"/>
    <xf numFmtId="0" fontId="0" fillId="0" borderId="22" xfId="0" applyBorder="1" applyAlignment="1">
      <alignment horizontal="left"/>
    </xf>
    <xf numFmtId="0" fontId="0" fillId="0" borderId="21" xfId="0" applyBorder="1"/>
    <xf numFmtId="167" fontId="0" fillId="0" borderId="14" xfId="0" applyNumberFormat="1" applyBorder="1"/>
    <xf numFmtId="167" fontId="0" fillId="0" borderId="17" xfId="0" applyNumberFormat="1" applyBorder="1"/>
    <xf numFmtId="167" fontId="0" fillId="0" borderId="22" xfId="0" applyNumberFormat="1" applyBorder="1"/>
    <xf numFmtId="167" fontId="0" fillId="0" borderId="23"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167" fontId="0" fillId="0" borderId="24" xfId="0" applyNumberFormat="1" applyBorder="1"/>
    <xf numFmtId="0" fontId="0" fillId="0" borderId="24" xfId="0" applyBorder="1" applyAlignment="1">
      <alignment horizontal="left"/>
    </xf>
    <xf numFmtId="0" fontId="0" fillId="33" borderId="11" xfId="0" applyFill="1" applyBorder="1" applyAlignment="1">
      <alignment horizontal="center"/>
    </xf>
    <xf numFmtId="0" fontId="0" fillId="33" borderId="12" xfId="0" applyFill="1" applyBorder="1" applyAlignment="1">
      <alignment horizontal="center"/>
    </xf>
    <xf numFmtId="0" fontId="18" fillId="33" borderId="10" xfId="0" applyFont="1" applyFill="1" applyBorder="1" applyAlignment="1">
      <alignment horizontal="center" vertic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6" fillId="33" borderId="10" xfId="0" applyFont="1" applyFill="1" applyBorder="1" applyAlignment="1">
      <alignment horizontal="center"/>
    </xf>
    <xf numFmtId="167" fontId="0" fillId="0" borderId="0" xfId="0" applyNumberFormat="1" applyBorder="1"/>
    <xf numFmtId="165" fontId="0" fillId="0" borderId="22" xfId="0" applyNumberFormat="1" applyBorder="1"/>
    <xf numFmtId="165" fontId="0" fillId="0" borderId="24" xfId="0" applyNumberFormat="1" applyBorder="1"/>
    <xf numFmtId="165"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9" fillId="34" borderId="0" xfId="0" applyNumberFormat="1" applyFont="1" applyFill="1" applyBorder="1" applyAlignment="1">
      <alignment horizontal="left" vertical="center" indent="2"/>
    </xf>
    <xf numFmtId="0" fontId="19" fillId="34" borderId="0" xfId="0" applyNumberFormat="1" applyFont="1" applyFill="1" applyBorder="1" applyAlignment="1">
      <alignment horizontal="left" vertical="center"/>
    </xf>
    <xf numFmtId="0" fontId="20" fillId="34" borderId="0" xfId="0" applyNumberFormat="1" applyFont="1" applyFill="1" applyBorder="1" applyAlignment="1">
      <alignment horizontal="left" vertical="center" indent="2"/>
    </xf>
    <xf numFmtId="0" fontId="20" fillId="34" borderId="0" xfId="0" applyNumberFormat="1" applyFont="1" applyFill="1" applyBorder="1" applyAlignment="1">
      <alignment horizontal="left" vertical="center"/>
    </xf>
    <xf numFmtId="0" fontId="21" fillId="34" borderId="0" xfId="0" applyNumberFormat="1" applyFont="1" applyFill="1" applyBorder="1" applyAlignment="1">
      <alignment horizontal="left" vertical="center" indent="2"/>
    </xf>
    <xf numFmtId="0" fontId="21" fillId="34" borderId="0" xfId="0" applyNumberFormat="1" applyFont="1" applyFill="1" applyBorder="1" applyAlignment="1">
      <alignment horizontal="left" vertical="center"/>
    </xf>
    <xf numFmtId="0" fontId="22" fillId="35" borderId="0" xfId="0" applyNumberFormat="1" applyFont="1" applyFill="1" applyBorder="1" applyAlignment="1">
      <alignment horizontal="left" vertical="center"/>
    </xf>
    <xf numFmtId="0" fontId="23" fillId="35" borderId="0" xfId="0" applyNumberFormat="1" applyFont="1" applyFill="1" applyBorder="1" applyAlignment="1">
      <alignment horizontal="right" vertical="center"/>
    </xf>
    <xf numFmtId="0" fontId="0" fillId="36" borderId="25" xfId="0" applyNumberFormat="1" applyFont="1" applyFill="1" applyBorder="1" applyAlignment="1">
      <alignment vertical="center"/>
    </xf>
    <xf numFmtId="0" fontId="0" fillId="36" borderId="26" xfId="0" applyNumberFormat="1" applyFont="1" applyFill="1" applyBorder="1" applyAlignment="1">
      <alignment vertical="center"/>
    </xf>
    <xf numFmtId="0" fontId="0" fillId="36" borderId="27" xfId="0" applyNumberFormat="1" applyFont="1" applyFill="1" applyBorder="1" applyAlignment="1">
      <alignment vertical="center"/>
    </xf>
    <xf numFmtId="0" fontId="0" fillId="36" borderId="28" xfId="0" applyNumberFormat="1" applyFont="1" applyFill="1" applyBorder="1" applyAlignment="1">
      <alignment vertical="center"/>
    </xf>
    <xf numFmtId="0" fontId="0" fillId="36" borderId="0" xfId="0" applyNumberFormat="1" applyFont="1" applyFill="1" applyBorder="1" applyAlignment="1">
      <alignment vertical="center"/>
    </xf>
    <xf numFmtId="0" fontId="0" fillId="36" borderId="29" xfId="0" applyNumberFormat="1" applyFont="1" applyFill="1" applyBorder="1" applyAlignment="1">
      <alignment vertical="center"/>
    </xf>
    <xf numFmtId="0" fontId="0" fillId="36" borderId="30" xfId="0" applyNumberFormat="1" applyFont="1" applyFill="1" applyBorder="1" applyAlignment="1">
      <alignment vertical="center"/>
    </xf>
    <xf numFmtId="0" fontId="0" fillId="36" borderId="31" xfId="0" applyNumberFormat="1" applyFont="1" applyFill="1" applyBorder="1" applyAlignment="1">
      <alignment vertical="center"/>
    </xf>
    <xf numFmtId="0" fontId="0" fillId="36" borderId="32" xfId="0" applyNumberFormat="1" applyFont="1" applyFill="1" applyBorder="1" applyAlignment="1">
      <alignment vertical="center"/>
    </xf>
    <xf numFmtId="0" fontId="0" fillId="36" borderId="33" xfId="0" applyNumberFormat="1" applyFont="1" applyFill="1" applyBorder="1" applyAlignment="1">
      <alignment horizontal="left" vertical="center" indent="1"/>
    </xf>
    <xf numFmtId="0" fontId="0" fillId="36" borderId="26" xfId="0" applyNumberFormat="1" applyFont="1" applyFill="1" applyBorder="1" applyAlignment="1">
      <alignment horizontal="left" vertical="center"/>
    </xf>
    <xf numFmtId="0" fontId="0" fillId="36" borderId="27" xfId="0" applyNumberFormat="1" applyFont="1" applyFill="1" applyBorder="1" applyAlignment="1">
      <alignment horizontal="left" vertical="center"/>
    </xf>
    <xf numFmtId="0" fontId="24" fillId="36" borderId="34" xfId="0" applyNumberFormat="1" applyFont="1" applyFill="1" applyBorder="1" applyAlignment="1">
      <alignment horizontal="left" vertical="center" indent="1"/>
    </xf>
    <xf numFmtId="0" fontId="24" fillId="36" borderId="0" xfId="0" applyNumberFormat="1" applyFont="1" applyFill="1" applyBorder="1" applyAlignment="1">
      <alignment horizontal="left" vertical="center"/>
    </xf>
    <xf numFmtId="0" fontId="24" fillId="36" borderId="29" xfId="0" applyNumberFormat="1" applyFont="1" applyFill="1" applyBorder="1" applyAlignment="1">
      <alignment horizontal="left" vertical="center"/>
    </xf>
    <xf numFmtId="4" fontId="25" fillId="36" borderId="34" xfId="0" applyNumberFormat="1" applyFont="1" applyFill="1" applyBorder="1" applyAlignment="1">
      <alignment horizontal="left" vertical="center" indent="1"/>
    </xf>
    <xf numFmtId="4" fontId="25" fillId="36" borderId="0" xfId="0" applyNumberFormat="1" applyFont="1" applyFill="1" applyBorder="1" applyAlignment="1">
      <alignment horizontal="left" vertical="center"/>
    </xf>
    <xf numFmtId="4" fontId="25" fillId="36" borderId="29" xfId="0" applyNumberFormat="1" applyFont="1" applyFill="1" applyBorder="1" applyAlignment="1">
      <alignment horizontal="left" vertical="center"/>
    </xf>
    <xf numFmtId="0" fontId="23" fillId="36" borderId="34" xfId="0" applyNumberFormat="1" applyFont="1" applyFill="1" applyBorder="1" applyAlignment="1">
      <alignment horizontal="left" vertical="center" indent="1"/>
    </xf>
    <xf numFmtId="0" fontId="23" fillId="36" borderId="0" xfId="0" applyNumberFormat="1" applyFont="1" applyFill="1" applyBorder="1" applyAlignment="1">
      <alignment horizontal="left" vertical="center"/>
    </xf>
    <xf numFmtId="0" fontId="23" fillId="36" borderId="29" xfId="0" applyNumberFormat="1" applyFont="1" applyFill="1" applyBorder="1" applyAlignment="1">
      <alignment horizontal="left" vertical="center"/>
    </xf>
    <xf numFmtId="0" fontId="0" fillId="36" borderId="35" xfId="0" applyNumberFormat="1" applyFont="1" applyFill="1" applyBorder="1" applyAlignment="1">
      <alignment horizontal="left" vertical="center" indent="1"/>
    </xf>
    <xf numFmtId="0" fontId="0" fillId="36" borderId="31" xfId="0" applyNumberFormat="1" applyFont="1" applyFill="1" applyBorder="1" applyAlignment="1">
      <alignment horizontal="left" vertical="center"/>
    </xf>
    <xf numFmtId="0" fontId="0" fillId="36" borderId="32" xfId="0" applyNumberFormat="1" applyFont="1" applyFill="1" applyBorder="1" applyAlignment="1">
      <alignment horizontal="left" vertical="center"/>
    </xf>
    <xf numFmtId="3" fontId="25" fillId="36" borderId="34" xfId="0" applyNumberFormat="1" applyFont="1" applyFill="1" applyBorder="1" applyAlignment="1">
      <alignment horizontal="left" vertical="center" indent="1"/>
    </xf>
    <xf numFmtId="3" fontId="25" fillId="36" borderId="0" xfId="0" applyNumberFormat="1" applyFont="1" applyFill="1" applyBorder="1" applyAlignment="1">
      <alignment horizontal="left" vertical="center"/>
    </xf>
    <xf numFmtId="3" fontId="25" fillId="36" borderId="29" xfId="0" applyNumberFormat="1" applyFont="1" applyFill="1" applyBorder="1" applyAlignment="1">
      <alignment horizontal="left" vertical="center"/>
    </xf>
    <xf numFmtId="2" fontId="25" fillId="36" borderId="34" xfId="0" applyNumberFormat="1" applyFont="1" applyFill="1" applyBorder="1" applyAlignment="1">
      <alignment horizontal="left" vertical="center" indent="1"/>
    </xf>
    <xf numFmtId="2" fontId="25" fillId="36" borderId="0" xfId="0" applyNumberFormat="1" applyFont="1" applyFill="1" applyBorder="1" applyAlignment="1">
      <alignment horizontal="left" vertical="center"/>
    </xf>
    <xf numFmtId="2" fontId="25" fillId="36" borderId="29" xfId="0" applyNumberFormat="1" applyFont="1" applyFill="1" applyBorder="1" applyAlignment="1">
      <alignment horizontal="left" vertical="center"/>
    </xf>
    <xf numFmtId="0" fontId="26" fillId="36" borderId="36" xfId="0" applyNumberFormat="1" applyFont="1" applyFill="1" applyBorder="1" applyAlignment="1">
      <alignment horizontal="left" vertical="center" indent="1"/>
    </xf>
    <xf numFmtId="0" fontId="26" fillId="36" borderId="37" xfId="0" applyNumberFormat="1" applyFont="1" applyFill="1" applyBorder="1" applyAlignment="1">
      <alignment horizontal="left" vertical="center"/>
    </xf>
    <xf numFmtId="0" fontId="26" fillId="36" borderId="38" xfId="0" applyNumberFormat="1" applyFont="1" applyFill="1" applyBorder="1" applyAlignment="1">
      <alignment horizontal="left" vertical="center"/>
    </xf>
    <xf numFmtId="0" fontId="27" fillId="35" borderId="0" xfId="0" applyNumberFormat="1" applyFont="1" applyFill="1" applyBorder="1" applyAlignment="1">
      <alignment horizontal="left" vertical="center"/>
    </xf>
    <xf numFmtId="0" fontId="23" fillId="35" borderId="0" xfId="0" applyNumberFormat="1" applyFont="1" applyFill="1" applyBorder="1" applyAlignment="1">
      <alignment horizontal="left" vertical="center"/>
    </xf>
    <xf numFmtId="0" fontId="0" fillId="35" borderId="0" xfId="0" applyNumberFormat="1" applyFont="1" applyFill="1" applyBorder="1" applyAlignment="1">
      <alignment vertical="center"/>
    </xf>
    <xf numFmtId="0" fontId="28" fillId="0" borderId="0" xfId="0" applyNumberFormat="1" applyFont="1" applyFill="1" applyBorder="1" applyAlignment="1">
      <alignment horizontal="left" vertical="center"/>
    </xf>
    <xf numFmtId="0" fontId="29" fillId="0" borderId="0" xfId="0" applyNumberFormat="1" applyFont="1" applyFill="1" applyBorder="1" applyAlignment="1">
      <alignment horizontal="left" vertical="center"/>
    </xf>
    <xf numFmtId="0" fontId="30" fillId="34" borderId="0" xfId="0" applyNumberFormat="1" applyFont="1" applyFill="1" applyBorder="1" applyAlignment="1">
      <alignment horizontal="left" vertical="center" indent="1"/>
    </xf>
    <xf numFmtId="0" fontId="30" fillId="34" borderId="0" xfId="0" applyNumberFormat="1" applyFont="1" applyFill="1" applyBorder="1" applyAlignment="1">
      <alignment vertical="center"/>
    </xf>
    <xf numFmtId="0" fontId="29" fillId="0" borderId="0" xfId="0" applyNumberFormat="1" applyFont="1" applyFill="1" applyBorder="1" applyAlignment="1">
      <alignment vertical="center"/>
    </xf>
    <xf numFmtId="0" fontId="26" fillId="37" borderId="39" xfId="0" applyNumberFormat="1" applyFont="1" applyFill="1" applyBorder="1" applyAlignment="1">
      <alignment horizontal="center" vertical="center"/>
    </xf>
    <xf numFmtId="4" fontId="31" fillId="0" borderId="31" xfId="0" applyNumberFormat="1" applyFont="1" applyFill="1" applyBorder="1" applyAlignment="1">
      <alignment horizontal="center" vertical="center"/>
    </xf>
    <xf numFmtId="3" fontId="31" fillId="0" borderId="31" xfId="0" applyNumberFormat="1" applyFont="1" applyFill="1" applyBorder="1" applyAlignment="1">
      <alignment horizontal="center" vertical="center"/>
    </xf>
    <xf numFmtId="2" fontId="31" fillId="0" borderId="31" xfId="0" applyNumberFormat="1" applyFont="1" applyFill="1" applyBorder="1" applyAlignment="1">
      <alignment horizontal="center" vertical="center"/>
    </xf>
    <xf numFmtId="0" fontId="26" fillId="37" borderId="39" xfId="0" applyNumberFormat="1" applyFont="1" applyFill="1" applyBorder="1" applyAlignment="1">
      <alignment horizontal="left" vertical="center"/>
    </xf>
    <xf numFmtId="0" fontId="26" fillId="37" borderId="39" xfId="0" applyNumberFormat="1" applyFont="1" applyFill="1" applyBorder="1" applyAlignment="1">
      <alignment horizontal="right" vertical="center"/>
    </xf>
    <xf numFmtId="0" fontId="31" fillId="0" borderId="31" xfId="0" applyNumberFormat="1" applyFont="1" applyFill="1" applyBorder="1" applyAlignment="1">
      <alignment horizontal="left" vertical="center"/>
    </xf>
    <xf numFmtId="4" fontId="31" fillId="0" borderId="31" xfId="0" applyNumberFormat="1" applyFont="1" applyFill="1" applyBorder="1" applyAlignment="1">
      <alignment horizontal="right" vertical="center"/>
    </xf>
    <xf numFmtId="3" fontId="31" fillId="0" borderId="31" xfId="0" applyNumberFormat="1" applyFont="1" applyFill="1" applyBorder="1" applyAlignment="1">
      <alignment horizontal="righ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71">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font>
        <b/>
        <color theme="1"/>
      </font>
      <border>
        <bottom style="thin">
          <color theme="7"/>
        </bottom>
        <vertical/>
        <horizontal/>
      </border>
    </dxf>
    <dxf>
      <font>
        <color theme="1"/>
      </font>
      <fill>
        <patternFill>
          <bgColor rgb="FFEAE9FF"/>
        </patternFill>
      </fill>
      <border>
        <left style="thin">
          <color theme="7"/>
        </left>
        <right style="thin">
          <color theme="7"/>
        </right>
        <top style="thin">
          <color theme="7"/>
        </top>
        <bottom style="thin">
          <color theme="7"/>
        </bottom>
        <vertical/>
        <horizontal/>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numFmt numFmtId="165" formatCode="#,##0.00"/>
    </dxf>
    <dxf>
      <numFmt numFmtId="1" formatCode="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5" formatCode="#,##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
      <numFmt numFmtId="167" formatCode="#,##0.00;-#,##0.00;0.00"/>
    </dxf>
    <dxf>
      <border>
        <left style="thin">
          <color rgb="FFE8E8F2"/>
        </left>
        <right style="thin">
          <color rgb="FFE8E8F2"/>
        </right>
        <top style="thin">
          <color rgb="FFE8E8F2"/>
        </top>
        <bottom style="thin">
          <color rgb="FFE8E8F2"/>
        </bottom>
      </border>
    </dxf>
    <dxf>
      <border>
        <left style="thin">
          <color rgb="FFE8E8F2"/>
        </left>
        <right style="thin">
          <color rgb="FFE8E8F2"/>
        </right>
        <top style="thin">
          <color rgb="FFE8E8F2"/>
        </top>
        <bottom style="thin">
          <color rgb="FFE8E8F2"/>
        </bottom>
      </border>
    </dxf>
  </dxfs>
  <tableStyles count="1" defaultTableStyle="TableStyleMedium2" defaultPivotStyle="PivotStyleLight16">
    <tableStyle name="Blinkit Analysis" pivot="0" table="0" count="10" xr9:uid="{43F85629-59E7-4095-BB9F-454FC8689F04}">
      <tableStyleElement type="wholeTable" dxfId="492"/>
      <tableStyleElement type="headerRow" dxfId="491"/>
    </tableStyle>
  </tableStyles>
  <colors>
    <mruColors>
      <color rgb="FFEAE9FF"/>
      <color rgb="FFD09E00"/>
      <color rgb="FFD0AC2C"/>
      <color rgb="FFFAFAFA"/>
    </mruColors>
  </colors>
  <extLst>
    <ext xmlns:x14="http://schemas.microsoft.com/office/spreadsheetml/2009/9/main" uri="{46F421CA-312F-682f-3DD2-61675219B42D}">
      <x14:dxfs count="8">
        <dxf>
          <font>
            <color rgb="FF737990"/>
          </font>
          <fill>
            <patternFill patternType="solid">
              <fgColor rgb="FFEAE9FF"/>
              <bgColor rgb="FFEAE9FF"/>
            </patternFill>
          </fill>
          <border>
            <left style="thin">
              <color rgb="FFE8E8F2"/>
            </left>
            <right style="thin">
              <color rgb="FFE8E8F2"/>
            </right>
            <top style="thin">
              <color rgb="FFE8E8F2"/>
            </top>
            <bottom style="thin">
              <color rgb="FFE8E8F2"/>
            </bottom>
            <vertical/>
            <horizontal/>
          </border>
        </dxf>
        <dxf>
          <font>
            <color rgb="FFA0A4B8"/>
          </font>
          <fill>
            <patternFill patternType="solid">
              <fgColor rgb="FFEAE9FF"/>
              <bgColor rgb="FFEAE9FF"/>
            </patternFill>
          </fill>
          <border>
            <left style="thin">
              <color rgb="FFE8E8F2"/>
            </left>
            <right style="thin">
              <color rgb="FFE8E8F2"/>
            </right>
            <top style="thin">
              <color rgb="FFE8E8F2"/>
            </top>
            <bottom style="thin">
              <color rgb="FFE8E8F2"/>
            </bottom>
            <vertical/>
            <horizontal/>
          </border>
        </dxf>
        <dxf>
          <font>
            <color rgb="FFFFFFFF"/>
          </font>
          <fill>
            <patternFill patternType="solid">
              <fgColor rgb="FF4F48D6"/>
              <bgColor rgb="FF4F48D6"/>
            </patternFill>
          </fill>
          <border>
            <left style="thin">
              <color rgb="FFE8E8F2"/>
            </left>
            <right style="thin">
              <color rgb="FFE8E8F2"/>
            </right>
            <top style="thin">
              <color rgb="FFE8E8F2"/>
            </top>
            <bottom style="thin">
              <color rgb="FFE8E8F2"/>
            </bottom>
            <vertical/>
            <horizontal/>
          </border>
        </dxf>
        <dxf>
          <font>
            <color rgb="FF20243A"/>
          </font>
          <fill>
            <patternFill patternType="solid">
              <fgColor rgb="FFEAE9FF"/>
              <bgColor rgb="FFEAE9FF"/>
            </patternFill>
          </fill>
          <border>
            <left style="thin">
              <color rgb="FFE8E8F2"/>
            </left>
            <right style="thin">
              <color rgb="FFE8E8F2"/>
            </right>
            <top style="thin">
              <color rgb="FFE8E8F2"/>
            </top>
            <bottom style="thin">
              <color rgb="FFE8E8F2"/>
            </bottom>
            <vertical/>
            <horizontal/>
          </border>
        </dxf>
        <dxf>
          <font>
            <color rgb="FF737990"/>
          </font>
          <fill>
            <patternFill patternType="solid">
              <fgColor rgb="FFEAE9FF"/>
              <bgColor rgb="FFEAE9FF"/>
            </patternFill>
          </fill>
          <border>
            <left style="thin">
              <color rgb="FFE8E8F2"/>
            </left>
            <right style="thin">
              <color rgb="FFE8E8F2"/>
            </right>
            <top style="thin">
              <color rgb="FFE8E8F2"/>
            </top>
            <bottom style="thin">
              <color rgb="FFE8E8F2"/>
            </bottom>
            <vertical/>
            <horizontal/>
          </border>
        </dxf>
        <dxf>
          <font>
            <color rgb="FFFFFFFF"/>
          </font>
          <fill>
            <patternFill patternType="solid">
              <fgColor rgb="FF625BEE"/>
              <bgColor rgb="FF625BEE"/>
            </patternFill>
          </fill>
          <border>
            <left style="thin">
              <color rgb="FFE8E8F2"/>
            </left>
            <right style="thin">
              <color rgb="FFE8E8F2"/>
            </right>
            <top style="thin">
              <color rgb="FFE8E8F2"/>
            </top>
            <bottom style="thin">
              <color rgb="FFE8E8F2"/>
            </bottom>
            <vertical/>
            <horizontal/>
          </border>
        </dxf>
        <dxf>
          <font>
            <color rgb="FFA0A4B8"/>
          </font>
          <fill>
            <patternFill patternType="solid">
              <fgColor rgb="FFFFFFFF"/>
              <bgColor rgb="FFFFFFFF"/>
            </patternFill>
          </fill>
          <border>
            <left style="thin">
              <color rgb="FFE8E8F2"/>
            </left>
            <right style="thin">
              <color rgb="FFE8E8F2"/>
            </right>
            <top style="thin">
              <color rgb="FFE8E8F2"/>
            </top>
            <bottom style="thin">
              <color rgb="FFE8E8F2"/>
            </bottom>
            <vertical/>
            <horizontal/>
          </border>
        </dxf>
        <dxf>
          <font>
            <color rgb="FF20243A"/>
          </font>
          <fill>
            <patternFill patternType="solid">
              <fgColor rgb="FFFFFFFF"/>
              <bgColor rgb="FFFFFFFF"/>
            </patternFill>
          </fill>
          <border>
            <left style="thin">
              <color rgb="FFE8E8F2"/>
            </left>
            <right style="thin">
              <color rgb="FFE8E8F2"/>
            </right>
            <top style="thin">
              <color rgb="FFE8E8F2"/>
            </top>
            <bottom style="thin">
              <color rgb="FFE8E8F2"/>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Analysis!PivotTable2</c:name>
    <c:fmtId val="0"/>
  </c:pivotSource>
  <c:chart>
    <c:autoTitleDeleted val="1"/>
    <c:pivotFmts>
      <c:pivotFmt>
        <c:idx val="0"/>
        <c:spPr>
          <a:solidFill>
            <a:srgbClr val="625BEE"/>
          </a:solidFill>
          <a:ln w="19050">
            <a:solidFill>
              <a:schemeClr val="lt1"/>
            </a:solidFill>
          </a:ln>
          <a:effectLst/>
        </c:spPr>
        <c:marker>
          <c:symbol val="none"/>
        </c:marker>
        <c:dLbl>
          <c:idx val="0"/>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625BEE"/>
          </a:solidFill>
          <a:ln w="19050">
            <a:solidFill>
              <a:schemeClr val="lt1"/>
            </a:solidFill>
          </a:ln>
          <a:effectLst/>
        </c:spPr>
      </c:pivotFmt>
      <c:pivotFmt>
        <c:idx val="2"/>
        <c:spPr>
          <a:solidFill>
            <a:srgbClr val="625BEE"/>
          </a:solidFill>
          <a:ln w="19050">
            <a:solidFill>
              <a:schemeClr val="lt1"/>
            </a:solidFill>
          </a:ln>
          <a:effectLst/>
        </c:spPr>
      </c:pivotFmt>
    </c:pivotFmts>
    <c:plotArea>
      <c:layout>
        <c:manualLayout>
          <c:layoutTarget val="inner"/>
          <c:xMode val="edge"/>
          <c:yMode val="edge"/>
          <c:x val="5.9501194637665816E-2"/>
          <c:y val="4.491554439178564E-2"/>
          <c:w val="0.57390770099925847"/>
          <c:h val="0.92523373272712606"/>
        </c:manualLayout>
      </c:layout>
      <c:doughnutChart>
        <c:varyColors val="1"/>
        <c:ser>
          <c:idx val="0"/>
          <c:order val="0"/>
          <c:tx>
            <c:strRef>
              <c:f>'Dashboard Analysis'!$B$11</c:f>
              <c:strCache>
                <c:ptCount val="1"/>
                <c:pt idx="0">
                  <c:v>Total</c:v>
                </c:pt>
              </c:strCache>
            </c:strRef>
          </c:tx>
          <c:dPt>
            <c:idx val="0"/>
            <c:bubble3D val="0"/>
            <c:spPr>
              <a:solidFill>
                <a:srgbClr val="625BEE"/>
              </a:solidFill>
              <a:ln w="19050">
                <a:solidFill>
                  <a:schemeClr val="lt1"/>
                </a:solidFill>
              </a:ln>
              <a:effectLst/>
            </c:spPr>
            <c:extLst>
              <c:ext xmlns:c16="http://schemas.microsoft.com/office/drawing/2014/chart" uri="{C3380CC4-5D6E-409C-BE32-E72D297353CC}">
                <c16:uniqueId val="{00000001-FC6E-4868-970B-34854E671356}"/>
              </c:ext>
            </c:extLst>
          </c:dPt>
          <c:dPt>
            <c:idx val="1"/>
            <c:bubble3D val="0"/>
            <c:spPr>
              <a:solidFill>
                <a:srgbClr val="8F8AF3"/>
              </a:solidFill>
              <a:ln w="19050">
                <a:solidFill>
                  <a:schemeClr val="lt1"/>
                </a:solidFill>
              </a:ln>
              <a:effectLst/>
            </c:spPr>
            <c:extLst>
              <c:ext xmlns:c16="http://schemas.microsoft.com/office/drawing/2014/chart" uri="{C3380CC4-5D6E-409C-BE32-E72D297353CC}">
                <c16:uniqueId val="{00000003-FC6E-4868-970B-34854E671356}"/>
              </c:ext>
            </c:extLst>
          </c:dPt>
          <c:cat>
            <c:strRef>
              <c:f>'Dashboard Analysis'!$A$12:$A$13</c:f>
              <c:strCache>
                <c:ptCount val="2"/>
                <c:pt idx="0">
                  <c:v>Low Fat</c:v>
                </c:pt>
                <c:pt idx="1">
                  <c:v>Regular</c:v>
                </c:pt>
              </c:strCache>
            </c:strRef>
          </c:cat>
          <c:val>
            <c:numRef>
              <c:f>'Dashboard Analysis'!$B$12:$B$13</c:f>
              <c:numCache>
                <c:formatCode>#,##0.0,"K"</c:formatCode>
                <c:ptCount val="2"/>
                <c:pt idx="0">
                  <c:v>776319.68840000057</c:v>
                </c:pt>
                <c:pt idx="1">
                  <c:v>425361.8043999995</c:v>
                </c:pt>
              </c:numCache>
            </c:numRef>
          </c:val>
          <c:extLst>
            <c:ext xmlns:c16="http://schemas.microsoft.com/office/drawing/2014/chart" uri="{C3380CC4-5D6E-409C-BE32-E72D297353CC}">
              <c16:uniqueId val="{00000000-5066-4881-88E3-A4418F7D5013}"/>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solidFill>
          <a:srgbClr val="FFFFFF"/>
        </a:solidFill>
        <a:ln>
          <a:noFill/>
        </a:ln>
        <a:effectLst/>
      </c:spPr>
      <c:txPr>
        <a:bodyPr rot="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Analysis!PivotTable4</c:name>
    <c:fmtId val="4"/>
  </c:pivotSource>
  <c:chart>
    <c:autoTitleDeleted val="1"/>
    <c:pivotFmts>
      <c:pivotFmt>
        <c:idx val="0"/>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24670043919259"/>
          <c:y val="0.16080431700954176"/>
          <c:w val="0.80833769530591848"/>
          <c:h val="0.83314442382600262"/>
        </c:manualLayout>
      </c:layout>
      <c:barChart>
        <c:barDir val="bar"/>
        <c:grouping val="clustered"/>
        <c:varyColors val="0"/>
        <c:ser>
          <c:idx val="0"/>
          <c:order val="0"/>
          <c:tx>
            <c:strRef>
              <c:f>'Dashboard Analysis'!$B$22:$B$23</c:f>
              <c:strCache>
                <c:ptCount val="1"/>
                <c:pt idx="0">
                  <c:v>Regular</c:v>
                </c:pt>
              </c:strCache>
            </c:strRef>
          </c:tx>
          <c:spPr>
            <a:solidFill>
              <a:srgbClr val="625BEE"/>
            </a:solidFill>
            <a:ln>
              <a:noFill/>
            </a:ln>
            <a:effectLst/>
          </c:spPr>
          <c:invertIfNegative val="0"/>
          <c:cat>
            <c:strRef>
              <c:f>'Dashboard Analysis'!$A$24:$A$26</c:f>
              <c:strCache>
                <c:ptCount val="3"/>
                <c:pt idx="0">
                  <c:v>Tier 1</c:v>
                </c:pt>
                <c:pt idx="1">
                  <c:v>Tier 2</c:v>
                </c:pt>
                <c:pt idx="2">
                  <c:v>Tier 3</c:v>
                </c:pt>
              </c:strCache>
            </c:strRef>
          </c:cat>
          <c:val>
            <c:numRef>
              <c:f>'Dashboard Analysis'!$B$24:$B$26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120-407F-B8AA-4B27B27A4644}"/>
            </c:ext>
          </c:extLst>
        </c:ser>
        <c:ser>
          <c:idx val="1"/>
          <c:order val="1"/>
          <c:tx>
            <c:strRef>
              <c:f>'Dashboard Analysis'!$C$22:$C$23</c:f>
              <c:strCache>
                <c:ptCount val="1"/>
                <c:pt idx="0">
                  <c:v>Low Fat</c:v>
                </c:pt>
              </c:strCache>
            </c:strRef>
          </c:tx>
          <c:spPr>
            <a:solidFill>
              <a:srgbClr val="8F8AF3"/>
            </a:solidFill>
            <a:ln>
              <a:noFill/>
            </a:ln>
            <a:effectLst/>
          </c:spPr>
          <c:invertIfNegative val="0"/>
          <c:cat>
            <c:strRef>
              <c:f>'Dashboard Analysis'!$A$24:$A$26</c:f>
              <c:strCache>
                <c:ptCount val="3"/>
                <c:pt idx="0">
                  <c:v>Tier 1</c:v>
                </c:pt>
                <c:pt idx="1">
                  <c:v>Tier 2</c:v>
                </c:pt>
                <c:pt idx="2">
                  <c:v>Tier 3</c:v>
                </c:pt>
              </c:strCache>
            </c:strRef>
          </c:cat>
          <c:val>
            <c:numRef>
              <c:f>'Dashboard Analysis'!$C$24:$C$26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120-407F-B8AA-4B27B27A4644}"/>
            </c:ext>
          </c:extLst>
        </c:ser>
        <c:dLbls>
          <c:showLegendKey val="0"/>
          <c:showVal val="0"/>
          <c:showCatName val="0"/>
          <c:showSerName val="0"/>
          <c:showPercent val="0"/>
          <c:showBubbleSize val="0"/>
        </c:dLbls>
        <c:gapWidth val="182"/>
        <c:axId val="2017155568"/>
        <c:axId val="2017153488"/>
      </c:barChart>
      <c:catAx>
        <c:axId val="2017155568"/>
        <c:scaling>
          <c:orientation val="minMax"/>
        </c:scaling>
        <c:delete val="0"/>
        <c:axPos val="l"/>
        <c:numFmt formatCode="General" sourceLinked="1"/>
        <c:majorTickMark val="none"/>
        <c:minorTickMark val="none"/>
        <c:tickLblPos val="nextTo"/>
        <c:spPr>
          <a:noFill/>
          <a:ln w="9525" cap="flat" cmpd="sng" algn="ctr">
            <a:solidFill>
              <a:srgbClr val="E8E8F2"/>
            </a:solidFill>
            <a:round/>
          </a:ln>
          <a:effectLst/>
        </c:spPr>
        <c:txPr>
          <a:bodyPr rot="-6000000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crossAx val="2017153488"/>
        <c:crosses val="autoZero"/>
        <c:auto val="1"/>
        <c:lblAlgn val="ctr"/>
        <c:lblOffset val="100"/>
        <c:noMultiLvlLbl val="0"/>
      </c:catAx>
      <c:valAx>
        <c:axId val="2017153488"/>
        <c:scaling>
          <c:orientation val="minMax"/>
        </c:scaling>
        <c:delete val="1"/>
        <c:axPos val="b"/>
        <c:numFmt formatCode="#,##0.0,&quot;K&quot;" sourceLinked="0"/>
        <c:majorTickMark val="none"/>
        <c:minorTickMark val="none"/>
        <c:tickLblPos val="nextTo"/>
        <c:crossAx val="2017155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Analysis!PivotTable3</c:name>
    <c:fmtId val="9"/>
  </c:pivotSource>
  <c:chart>
    <c:autoTitleDeleted val="1"/>
    <c:pivotFmts>
      <c:pivotFmt>
        <c:idx val="0"/>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98495798908093"/>
          <c:y val="7.4073925472691704E-2"/>
          <c:w val="0.67414720034995623"/>
          <c:h val="0.8416746864975212"/>
        </c:manualLayout>
      </c:layout>
      <c:barChart>
        <c:barDir val="bar"/>
        <c:grouping val="clustered"/>
        <c:varyColors val="0"/>
        <c:ser>
          <c:idx val="0"/>
          <c:order val="0"/>
          <c:tx>
            <c:strRef>
              <c:f>'Dashboard Analysis'!$B$36</c:f>
              <c:strCache>
                <c:ptCount val="1"/>
                <c:pt idx="0">
                  <c:v>Total</c:v>
                </c:pt>
              </c:strCache>
            </c:strRef>
          </c:tx>
          <c:spPr>
            <a:solidFill>
              <a:srgbClr val="625BEE"/>
            </a:solidFill>
            <a:ln>
              <a:noFill/>
            </a:ln>
            <a:effectLst/>
          </c:spPr>
          <c:invertIfNegative val="0"/>
          <c:cat>
            <c:strRef>
              <c:f>'Dashboard Analysis'!$A$37:$A$52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'Dashboard Analysis'!$B$37:$B$52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1D4-479A-B4FA-A213F6CA1899}"/>
            </c:ext>
          </c:extLst>
        </c:ser>
        <c:dLbls>
          <c:showLegendKey val="0"/>
          <c:showVal val="0"/>
          <c:showCatName val="0"/>
          <c:showSerName val="0"/>
          <c:showPercent val="0"/>
          <c:showBubbleSize val="0"/>
        </c:dLbls>
        <c:gapWidth val="182"/>
        <c:axId val="1413005120"/>
        <c:axId val="1408287152"/>
      </c:barChart>
      <c:catAx>
        <c:axId val="1413005120"/>
        <c:scaling>
          <c:orientation val="minMax"/>
        </c:scaling>
        <c:delete val="0"/>
        <c:axPos val="l"/>
        <c:numFmt formatCode="General" sourceLinked="1"/>
        <c:majorTickMark val="none"/>
        <c:minorTickMark val="none"/>
        <c:tickLblPos val="nextTo"/>
        <c:spPr>
          <a:noFill/>
          <a:ln w="9525" cap="flat" cmpd="sng" algn="ctr">
            <a:solidFill>
              <a:srgbClr val="E8E8F2"/>
            </a:solidFill>
            <a:round/>
          </a:ln>
          <a:effectLst/>
        </c:spPr>
        <c:txPr>
          <a:bodyPr rot="-6000000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crossAx val="1408287152"/>
        <c:crosses val="autoZero"/>
        <c:auto val="1"/>
        <c:lblAlgn val="ctr"/>
        <c:lblOffset val="100"/>
        <c:noMultiLvlLbl val="0"/>
      </c:catAx>
      <c:valAx>
        <c:axId val="1408287152"/>
        <c:scaling>
          <c:orientation val="minMax"/>
        </c:scaling>
        <c:delete val="1"/>
        <c:axPos val="b"/>
        <c:numFmt formatCode="#,##0.0,&quot;K&quot;" sourceLinked="0"/>
        <c:majorTickMark val="none"/>
        <c:minorTickMark val="none"/>
        <c:tickLblPos val="nextTo"/>
        <c:crossAx val="14130051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Analysis!PivotTable6</c:name>
    <c:fmtId val="14"/>
  </c:pivotSource>
  <c:chart>
    <c:autoTitleDeleted val="1"/>
    <c:pivotFmts>
      <c:pivotFmt>
        <c:idx val="0"/>
        <c:spPr>
          <a:solidFill>
            <a:srgbClr val="625BEE"/>
          </a:solidFill>
          <a:ln>
            <a:noFill/>
          </a:ln>
          <a:effectLst/>
        </c:spPr>
        <c:marker>
          <c:symbol val="none"/>
        </c:marker>
        <c:dLbl>
          <c:idx val="0"/>
          <c:numFmt formatCode="#,##0.0,&quot;K&quot;"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 Analysis'!$B$57</c:f>
              <c:strCache>
                <c:ptCount val="1"/>
                <c:pt idx="0">
                  <c:v>Total</c:v>
                </c:pt>
              </c:strCache>
            </c:strRef>
          </c:tx>
          <c:spPr>
            <a:solidFill>
              <a:srgbClr val="625BEE"/>
            </a:solidFill>
            <a:ln>
              <a:noFill/>
            </a:ln>
            <a:effectLst/>
          </c:spPr>
          <c:cat>
            <c:strRef>
              <c:f>'Dashboard Analysis'!$A$58:$A$66</c:f>
              <c:strCache>
                <c:ptCount val="9"/>
                <c:pt idx="0">
                  <c:v>2011</c:v>
                </c:pt>
                <c:pt idx="1">
                  <c:v>2012</c:v>
                </c:pt>
                <c:pt idx="2">
                  <c:v>2014</c:v>
                </c:pt>
                <c:pt idx="3">
                  <c:v>2015</c:v>
                </c:pt>
                <c:pt idx="4">
                  <c:v>2016</c:v>
                </c:pt>
                <c:pt idx="5">
                  <c:v>2017</c:v>
                </c:pt>
                <c:pt idx="6">
                  <c:v>2018</c:v>
                </c:pt>
                <c:pt idx="7">
                  <c:v>2020</c:v>
                </c:pt>
                <c:pt idx="8">
                  <c:v>2022</c:v>
                </c:pt>
              </c:strCache>
            </c:strRef>
          </c:cat>
          <c:val>
            <c:numRef>
              <c:f>'Dashboard Analysis'!$B$58:$B$66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F17-44E3-9BBD-B99CBE70655B}"/>
            </c:ext>
          </c:extLst>
        </c:ser>
        <c:dLbls>
          <c:showLegendKey val="0"/>
          <c:showVal val="0"/>
          <c:showCatName val="0"/>
          <c:showSerName val="0"/>
          <c:showPercent val="0"/>
          <c:showBubbleSize val="0"/>
        </c:dLbls>
        <c:axId val="1420833536"/>
        <c:axId val="1420839360"/>
      </c:areaChart>
      <c:catAx>
        <c:axId val="1420833536"/>
        <c:scaling>
          <c:orientation val="minMax"/>
        </c:scaling>
        <c:delete val="0"/>
        <c:axPos val="b"/>
        <c:numFmt formatCode="General" sourceLinked="1"/>
        <c:majorTickMark val="out"/>
        <c:minorTickMark val="none"/>
        <c:tickLblPos val="nextTo"/>
        <c:spPr>
          <a:noFill/>
          <a:ln w="9525" cap="flat" cmpd="sng" algn="ctr">
            <a:solidFill>
              <a:srgbClr val="E8E8F2"/>
            </a:solidFill>
            <a:round/>
          </a:ln>
          <a:effectLst/>
        </c:spPr>
        <c:txPr>
          <a:bodyPr rot="-6000000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crossAx val="1420839360"/>
        <c:crosses val="autoZero"/>
        <c:auto val="1"/>
        <c:lblAlgn val="ctr"/>
        <c:lblOffset val="100"/>
        <c:noMultiLvlLbl val="0"/>
      </c:catAx>
      <c:valAx>
        <c:axId val="1420839360"/>
        <c:scaling>
          <c:orientation val="minMax"/>
        </c:scaling>
        <c:delete val="0"/>
        <c:axPos val="l"/>
        <c:majorGridlines>
          <c:spPr>
            <a:ln w="9525" cap="flat" cmpd="sng" algn="ctr">
              <a:solidFill>
                <a:srgbClr val="E8E8F2"/>
              </a:solidFill>
              <a:round/>
            </a:ln>
            <a:effectLst/>
          </c:spPr>
        </c:majorGridlines>
        <c:numFmt formatCode="#,##0.0,&quot;K&quot;" sourceLinked="0"/>
        <c:majorTickMark val="none"/>
        <c:minorTickMark val="none"/>
        <c:tickLblPos val="nextTo"/>
        <c:spPr>
          <a:solidFill>
            <a:srgbClr val="FFFFFF"/>
          </a:solidFill>
          <a:ln>
            <a:noFill/>
          </a:ln>
          <a:effectLst/>
        </c:spPr>
        <c:txPr>
          <a:bodyPr rot="-6000000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crossAx val="14208335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FFFFF"/>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Analysis!PivotTable7</c:name>
    <c:fmtId val="18"/>
  </c:pivotSource>
  <c:chart>
    <c:autoTitleDeleted val="1"/>
    <c:pivotFmts>
      <c:pivotFmt>
        <c:idx val="0"/>
        <c:spPr>
          <a:solidFill>
            <a:srgbClr val="625BEE"/>
          </a:solidFill>
          <a:ln w="19050">
            <a:solidFill>
              <a:schemeClr val="lt1"/>
            </a:solidFill>
          </a:ln>
          <a:effectLst/>
        </c:spPr>
        <c:marker>
          <c:symbol val="none"/>
        </c:marker>
        <c:dLbl>
          <c:idx val="0"/>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625BEE"/>
          </a:solidFill>
          <a:ln w="19050">
            <a:solidFill>
              <a:schemeClr val="lt1"/>
            </a:solidFill>
          </a:ln>
          <a:effectLst/>
        </c:spPr>
      </c:pivotFmt>
      <c:pivotFmt>
        <c:idx val="2"/>
        <c:spPr>
          <a:solidFill>
            <a:srgbClr val="625BEE"/>
          </a:solidFill>
          <a:ln w="19050">
            <a:solidFill>
              <a:schemeClr val="lt1"/>
            </a:solidFill>
          </a:ln>
          <a:effectLst/>
        </c:spPr>
      </c:pivotFmt>
      <c:pivotFmt>
        <c:idx val="3"/>
        <c:spPr>
          <a:solidFill>
            <a:srgbClr val="625BEE"/>
          </a:solidFill>
          <a:ln w="19050">
            <a:solidFill>
              <a:schemeClr val="lt1"/>
            </a:solidFill>
          </a:ln>
          <a:effectLst/>
        </c:spPr>
      </c:pivotFmt>
    </c:pivotFmts>
    <c:plotArea>
      <c:layout/>
      <c:doughnutChart>
        <c:varyColors val="1"/>
        <c:ser>
          <c:idx val="0"/>
          <c:order val="0"/>
          <c:tx>
            <c:strRef>
              <c:f>'Dashboard Analysis'!$B$72</c:f>
              <c:strCache>
                <c:ptCount val="1"/>
                <c:pt idx="0">
                  <c:v>Total</c:v>
                </c:pt>
              </c:strCache>
            </c:strRef>
          </c:tx>
          <c:dPt>
            <c:idx val="0"/>
            <c:bubble3D val="0"/>
            <c:spPr>
              <a:solidFill>
                <a:srgbClr val="625BEE"/>
              </a:solidFill>
              <a:ln w="19050">
                <a:solidFill>
                  <a:schemeClr val="lt1"/>
                </a:solidFill>
              </a:ln>
              <a:effectLst/>
            </c:spPr>
            <c:extLst>
              <c:ext xmlns:c16="http://schemas.microsoft.com/office/drawing/2014/chart" uri="{C3380CC4-5D6E-409C-BE32-E72D297353CC}">
                <c16:uniqueId val="{00000001-AD4B-4489-AA41-52985D8C2EEE}"/>
              </c:ext>
            </c:extLst>
          </c:dPt>
          <c:dPt>
            <c:idx val="1"/>
            <c:bubble3D val="0"/>
            <c:spPr>
              <a:solidFill>
                <a:srgbClr val="8F8AF3"/>
              </a:solidFill>
              <a:ln w="19050">
                <a:solidFill>
                  <a:schemeClr val="lt1"/>
                </a:solidFill>
              </a:ln>
              <a:effectLst/>
            </c:spPr>
            <c:extLst>
              <c:ext xmlns:c16="http://schemas.microsoft.com/office/drawing/2014/chart" uri="{C3380CC4-5D6E-409C-BE32-E72D297353CC}">
                <c16:uniqueId val="{00000003-AD4B-4489-AA41-52985D8C2EEE}"/>
              </c:ext>
            </c:extLst>
          </c:dPt>
          <c:dPt>
            <c:idx val="2"/>
            <c:bubble3D val="0"/>
            <c:spPr>
              <a:solidFill>
                <a:srgbClr val="625BEE"/>
              </a:solidFill>
              <a:ln w="19050">
                <a:solidFill>
                  <a:schemeClr val="lt1"/>
                </a:solidFill>
              </a:ln>
              <a:effectLst/>
            </c:spPr>
            <c:extLst>
              <c:ext xmlns:c16="http://schemas.microsoft.com/office/drawing/2014/chart" uri="{C3380CC4-5D6E-409C-BE32-E72D297353CC}">
                <c16:uniqueId val="{00000005-AD4B-4489-AA41-52985D8C2EEE}"/>
              </c:ext>
            </c:extLst>
          </c:dPt>
          <c:cat>
            <c:strRef>
              <c:f>'Dashboard Analysis'!$A$73:$A$75</c:f>
              <c:strCache>
                <c:ptCount val="3"/>
                <c:pt idx="0">
                  <c:v>High</c:v>
                </c:pt>
                <c:pt idx="1">
                  <c:v>Medium</c:v>
                </c:pt>
                <c:pt idx="2">
                  <c:v>Small</c:v>
                </c:pt>
              </c:strCache>
            </c:strRef>
          </c:cat>
          <c:val>
            <c:numRef>
              <c:f>'Dashboard Analysis'!$B$73:$B$75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37B-4E5F-8EDB-3001B136257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solidFill>
          <a:srgbClr val="FFFFFF"/>
        </a:solidFill>
        <a:ln>
          <a:noFill/>
        </a:ln>
        <a:effectLst/>
      </c:spPr>
      <c:txPr>
        <a:bodyPr rot="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Analysis!PivotTable5</c:name>
    <c:fmtId val="22"/>
  </c:pivotSource>
  <c:chart>
    <c:autoTitleDeleted val="1"/>
    <c:pivotFmts>
      <c:pivotFmt>
        <c:idx val="0"/>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Analysis'!$B$95</c:f>
              <c:strCache>
                <c:ptCount val="1"/>
                <c:pt idx="0">
                  <c:v>Total</c:v>
                </c:pt>
              </c:strCache>
            </c:strRef>
          </c:tx>
          <c:spPr>
            <a:solidFill>
              <a:srgbClr val="625BEE"/>
            </a:solidFill>
            <a:ln>
              <a:noFill/>
            </a:ln>
            <a:effectLst/>
          </c:spPr>
          <c:invertIfNegative val="0"/>
          <c:cat>
            <c:strRef>
              <c:f>'Dashboard Analysis'!$A$96:$A$99</c:f>
              <c:strCache>
                <c:ptCount val="4"/>
                <c:pt idx="0">
                  <c:v>Grocery Store</c:v>
                </c:pt>
                <c:pt idx="1">
                  <c:v>Supermarket Type3</c:v>
                </c:pt>
                <c:pt idx="2">
                  <c:v>Supermarket Type2</c:v>
                </c:pt>
                <c:pt idx="3">
                  <c:v>Supermarket Type1</c:v>
                </c:pt>
              </c:strCache>
            </c:strRef>
          </c:cat>
          <c:val>
            <c:numRef>
              <c:f>'Dashboard Analysis'!$B$96:$B$99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575A-4E4E-9C9A-EB40923F4E25}"/>
            </c:ext>
          </c:extLst>
        </c:ser>
        <c:dLbls>
          <c:showLegendKey val="0"/>
          <c:showVal val="0"/>
          <c:showCatName val="0"/>
          <c:showSerName val="0"/>
          <c:showPercent val="0"/>
          <c:showBubbleSize val="0"/>
        </c:dLbls>
        <c:gapWidth val="182"/>
        <c:axId val="1891956047"/>
        <c:axId val="1891957711"/>
      </c:barChart>
      <c:catAx>
        <c:axId val="1891956047"/>
        <c:scaling>
          <c:orientation val="minMax"/>
        </c:scaling>
        <c:delete val="0"/>
        <c:axPos val="l"/>
        <c:numFmt formatCode="General" sourceLinked="1"/>
        <c:majorTickMark val="none"/>
        <c:minorTickMark val="none"/>
        <c:tickLblPos val="nextTo"/>
        <c:spPr>
          <a:noFill/>
          <a:ln w="9525" cap="flat" cmpd="sng" algn="ctr">
            <a:solidFill>
              <a:srgbClr val="E8E8F2"/>
            </a:solidFill>
            <a:round/>
          </a:ln>
          <a:effectLst/>
        </c:spPr>
        <c:txPr>
          <a:bodyPr rot="-6000000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crossAx val="1891957711"/>
        <c:crosses val="autoZero"/>
        <c:auto val="1"/>
        <c:lblAlgn val="ctr"/>
        <c:lblOffset val="100"/>
        <c:noMultiLvlLbl val="0"/>
      </c:catAx>
      <c:valAx>
        <c:axId val="1891957711"/>
        <c:scaling>
          <c:orientation val="minMax"/>
        </c:scaling>
        <c:delete val="1"/>
        <c:axPos val="b"/>
        <c:numFmt formatCode="#,##0.0,&quot;K&quot;" sourceLinked="0"/>
        <c:majorTickMark val="none"/>
        <c:minorTickMark val="none"/>
        <c:tickLblPos val="nextTo"/>
        <c:crossAx val="189195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625BEE"/>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625BEE"/>
            </a:solidFill>
            <a:ln>
              <a:noFill/>
            </a:ln>
            <a:effectLst/>
          </c:spPr>
          <c:invertIfNegative val="0"/>
          <c:cat>
            <c:strLit>
              <c:ptCount val="4"/>
              <c:pt idx="0">
                <c:v>Grocery Store</c:v>
              </c:pt>
              <c:pt idx="1">
                <c:v>Supermarket Type3</c:v>
              </c:pt>
              <c:pt idx="2">
                <c:v>Supermarket Type2</c:v>
              </c:pt>
              <c:pt idx="3">
                <c:v>Supermarket Type1</c:v>
              </c:pt>
            </c:strLit>
          </c:cat>
          <c:val>
            <c:numLit>
              <c:formatCode>General</c:formatCode>
              <c:ptCount val="4"/>
              <c:pt idx="0">
                <c:v>140.29468975069253</c:v>
              </c:pt>
              <c:pt idx="1">
                <c:v>139.80179101604284</c:v>
              </c:pt>
              <c:pt idx="2">
                <c:v>141.67863836206891</c:v>
              </c:pt>
              <c:pt idx="3">
                <c:v>141.21389506903375</c:v>
              </c:pt>
            </c:numLit>
          </c:val>
          <c:extLst>
            <c:ext xmlns:c16="http://schemas.microsoft.com/office/drawing/2014/chart" uri="{C3380CC4-5D6E-409C-BE32-E72D297353CC}">
              <c16:uniqueId val="{00000000-F9E8-4305-A5F2-D06A820E4890}"/>
            </c:ext>
          </c:extLst>
        </c:ser>
        <c:dLbls>
          <c:showLegendKey val="0"/>
          <c:showVal val="0"/>
          <c:showCatName val="0"/>
          <c:showSerName val="0"/>
          <c:showPercent val="0"/>
          <c:showBubbleSize val="0"/>
        </c:dLbls>
        <c:gapWidth val="182"/>
        <c:axId val="1987411727"/>
        <c:axId val="1987412975"/>
      </c:barChart>
      <c:catAx>
        <c:axId val="1987411727"/>
        <c:scaling>
          <c:orientation val="minMax"/>
        </c:scaling>
        <c:delete val="0"/>
        <c:axPos val="l"/>
        <c:numFmt formatCode="General" sourceLinked="1"/>
        <c:majorTickMark val="none"/>
        <c:minorTickMark val="none"/>
        <c:tickLblPos val="nextTo"/>
        <c:spPr>
          <a:noFill/>
          <a:ln w="9525" cap="flat" cmpd="sng" algn="ctr">
            <a:solidFill>
              <a:srgbClr val="E8E8F2"/>
            </a:solidFill>
            <a:round/>
          </a:ln>
          <a:effectLst/>
        </c:spPr>
        <c:txPr>
          <a:bodyPr rot="-6000000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crossAx val="1987412975"/>
        <c:crosses val="autoZero"/>
        <c:auto val="1"/>
        <c:lblAlgn val="ctr"/>
        <c:lblOffset val="100"/>
        <c:noMultiLvlLbl val="0"/>
      </c:catAx>
      <c:valAx>
        <c:axId val="1987412975"/>
        <c:scaling>
          <c:orientation val="minMax"/>
        </c:scaling>
        <c:delete val="1"/>
        <c:axPos val="b"/>
        <c:numFmt formatCode="General" sourceLinked="1"/>
        <c:majorTickMark val="none"/>
        <c:minorTickMark val="none"/>
        <c:tickLblPos val="nextTo"/>
        <c:crossAx val="1987411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Analysis!PivotTable10</c:name>
    <c:fmtId val="30"/>
  </c:pivotSource>
  <c:chart>
    <c:autoTitleDeleted val="1"/>
    <c:pivotFmts>
      <c:pivotFmt>
        <c:idx val="0"/>
        <c:spPr>
          <a:solidFill>
            <a:srgbClr val="625BEE"/>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Analysis'!$B$112</c:f>
              <c:strCache>
                <c:ptCount val="1"/>
                <c:pt idx="0">
                  <c:v>Total</c:v>
                </c:pt>
              </c:strCache>
            </c:strRef>
          </c:tx>
          <c:spPr>
            <a:solidFill>
              <a:srgbClr val="625BEE"/>
            </a:solidFill>
            <a:ln>
              <a:noFill/>
            </a:ln>
            <a:effectLst/>
          </c:spPr>
          <c:invertIfNegative val="0"/>
          <c:cat>
            <c:strRef>
              <c:f>'Dashboard Analysis'!$A$113:$A$116</c:f>
              <c:strCache>
                <c:ptCount val="4"/>
                <c:pt idx="0">
                  <c:v>Grocery Store</c:v>
                </c:pt>
                <c:pt idx="1">
                  <c:v>Supermarket Type3</c:v>
                </c:pt>
                <c:pt idx="2">
                  <c:v>Supermarket Type2</c:v>
                </c:pt>
                <c:pt idx="3">
                  <c:v>Supermarket Type1</c:v>
                </c:pt>
              </c:strCache>
            </c:strRef>
          </c:cat>
          <c:val>
            <c:numRef>
              <c:f>'Dashboard Analysis'!$B$113:$B$116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3B6-4858-9B1D-4F8758EA67AF}"/>
            </c:ext>
          </c:extLst>
        </c:ser>
        <c:dLbls>
          <c:showLegendKey val="0"/>
          <c:showVal val="0"/>
          <c:showCatName val="0"/>
          <c:showSerName val="0"/>
          <c:showPercent val="0"/>
          <c:showBubbleSize val="0"/>
        </c:dLbls>
        <c:gapWidth val="182"/>
        <c:axId val="1986393535"/>
        <c:axId val="1836179471"/>
      </c:barChart>
      <c:catAx>
        <c:axId val="1986393535"/>
        <c:scaling>
          <c:orientation val="minMax"/>
        </c:scaling>
        <c:delete val="0"/>
        <c:axPos val="l"/>
        <c:numFmt formatCode="General" sourceLinked="1"/>
        <c:majorTickMark val="none"/>
        <c:minorTickMark val="none"/>
        <c:tickLblPos val="nextTo"/>
        <c:spPr>
          <a:noFill/>
          <a:ln w="9525" cap="flat" cmpd="sng" algn="ctr">
            <a:solidFill>
              <a:srgbClr val="E8E8F2"/>
            </a:solidFill>
            <a:round/>
          </a:ln>
          <a:effectLst/>
        </c:spPr>
        <c:txPr>
          <a:bodyPr rot="-6000000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crossAx val="1836179471"/>
        <c:crosses val="autoZero"/>
        <c:auto val="1"/>
        <c:lblAlgn val="ctr"/>
        <c:lblOffset val="100"/>
        <c:noMultiLvlLbl val="0"/>
      </c:catAx>
      <c:valAx>
        <c:axId val="1836179471"/>
        <c:scaling>
          <c:orientation val="minMax"/>
        </c:scaling>
        <c:delete val="1"/>
        <c:axPos val="b"/>
        <c:numFmt formatCode="0" sourceLinked="1"/>
        <c:majorTickMark val="none"/>
        <c:minorTickMark val="none"/>
        <c:tickLblPos val="nextTo"/>
        <c:crossAx val="1986393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Analysis!PivotTable2</c:name>
    <c:fmtId val="3"/>
  </c:pivotSource>
  <c:chart>
    <c:autoTitleDeleted val="1"/>
    <c:pivotFmts>
      <c:pivotFmt>
        <c:idx val="0"/>
        <c:spPr>
          <a:solidFill>
            <a:srgbClr val="625BEE"/>
          </a:solidFill>
          <a:ln w="19050">
            <a:solidFill>
              <a:schemeClr val="lt1"/>
            </a:solidFill>
          </a:ln>
          <a:effectLst/>
        </c:spPr>
        <c:marker>
          <c:symbol val="none"/>
        </c:marker>
        <c:dLbl>
          <c:idx val="0"/>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625BEE"/>
          </a:solidFill>
          <a:ln w="19050">
            <a:solidFill>
              <a:schemeClr val="lt1"/>
            </a:solidFill>
          </a:ln>
          <a:effectLst/>
        </c:spPr>
        <c:marker>
          <c:symbol val="none"/>
        </c:marker>
        <c:dLbl>
          <c:idx val="0"/>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625BEE"/>
          </a:solidFill>
          <a:ln w="19050">
            <a:solidFill>
              <a:schemeClr val="lt1"/>
            </a:solidFill>
          </a:ln>
          <a:effectLst/>
        </c:spPr>
      </c:pivotFmt>
      <c:pivotFmt>
        <c:idx val="3"/>
        <c:spPr>
          <a:solidFill>
            <a:srgbClr val="625BEE"/>
          </a:solidFill>
          <a:ln w="19050">
            <a:solidFill>
              <a:schemeClr val="lt1"/>
            </a:solidFill>
          </a:ln>
          <a:effectLst/>
        </c:spPr>
      </c:pivotFmt>
      <c:pivotFmt>
        <c:idx val="4"/>
        <c:spPr>
          <a:solidFill>
            <a:srgbClr val="625BEE"/>
          </a:solidFill>
          <a:ln w="19050">
            <a:solidFill>
              <a:schemeClr val="lt1"/>
            </a:solidFill>
          </a:ln>
          <a:effectLst/>
        </c:spPr>
        <c:marker>
          <c:symbol val="none"/>
        </c:marker>
        <c:dLbl>
          <c:idx val="0"/>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625BEE"/>
          </a:solidFill>
          <a:ln w="19050">
            <a:solidFill>
              <a:schemeClr val="lt1"/>
            </a:solidFill>
          </a:ln>
          <a:effectLst/>
        </c:spPr>
      </c:pivotFmt>
      <c:pivotFmt>
        <c:idx val="6"/>
        <c:spPr>
          <a:solidFill>
            <a:srgbClr val="8F8AF3"/>
          </a:solidFill>
          <a:ln w="19050">
            <a:solidFill>
              <a:schemeClr val="lt1"/>
            </a:solidFill>
          </a:ln>
          <a:effectLst/>
        </c:spPr>
      </c:pivotFmt>
    </c:pivotFmts>
    <c:plotArea>
      <c:layout>
        <c:manualLayout>
          <c:layoutTarget val="inner"/>
          <c:xMode val="edge"/>
          <c:yMode val="edge"/>
          <c:x val="5.9501194637665816E-2"/>
          <c:y val="4.491554439178564E-2"/>
          <c:w val="0.57390770099925847"/>
          <c:h val="0.92523373272712606"/>
        </c:manualLayout>
      </c:layout>
      <c:doughnutChart>
        <c:varyColors val="1"/>
        <c:ser>
          <c:idx val="0"/>
          <c:order val="0"/>
          <c:tx>
            <c:strRef>
              <c:f>'Dashboard Analysis'!$B$11</c:f>
              <c:strCache>
                <c:ptCount val="1"/>
                <c:pt idx="0">
                  <c:v>Total</c:v>
                </c:pt>
              </c:strCache>
            </c:strRef>
          </c:tx>
          <c:dPt>
            <c:idx val="0"/>
            <c:bubble3D val="0"/>
            <c:spPr>
              <a:solidFill>
                <a:srgbClr val="625BEE"/>
              </a:solidFill>
              <a:ln w="19050">
                <a:solidFill>
                  <a:schemeClr val="lt1"/>
                </a:solidFill>
              </a:ln>
              <a:effectLst/>
            </c:spPr>
            <c:extLst>
              <c:ext xmlns:c16="http://schemas.microsoft.com/office/drawing/2014/chart" uri="{C3380CC4-5D6E-409C-BE32-E72D297353CC}">
                <c16:uniqueId val="{00000001-32FC-40C2-B1AD-D5DB0047DF8A}"/>
              </c:ext>
            </c:extLst>
          </c:dPt>
          <c:dPt>
            <c:idx val="1"/>
            <c:bubble3D val="0"/>
            <c:spPr>
              <a:solidFill>
                <a:srgbClr val="8F8AF3"/>
              </a:solidFill>
              <a:ln w="19050">
                <a:solidFill>
                  <a:schemeClr val="lt1"/>
                </a:solidFill>
              </a:ln>
              <a:effectLst/>
            </c:spPr>
            <c:extLst>
              <c:ext xmlns:c16="http://schemas.microsoft.com/office/drawing/2014/chart" uri="{C3380CC4-5D6E-409C-BE32-E72D297353CC}">
                <c16:uniqueId val="{00000003-32FC-40C2-B1AD-D5DB0047DF8A}"/>
              </c:ext>
            </c:extLst>
          </c:dPt>
          <c:dLbls>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'Dashboard Analysis'!$A$12:$A$13</c:f>
              <c:strCache>
                <c:ptCount val="2"/>
                <c:pt idx="0">
                  <c:v>Low Fat</c:v>
                </c:pt>
                <c:pt idx="1">
                  <c:v>Regular</c:v>
                </c:pt>
              </c:strCache>
            </c:strRef>
          </c:cat>
          <c:val>
            <c:numRef>
              <c:f>'Dashboard Analysis'!$B$12:$B$13</c:f>
              <c:numCache>
                <c:formatCode>#,##0.0,"K"</c:formatCode>
                <c:ptCount val="2"/>
                <c:pt idx="0">
                  <c:v>776319.68840000057</c:v>
                </c:pt>
                <c:pt idx="1">
                  <c:v>425361.8043999995</c:v>
                </c:pt>
              </c:numCache>
            </c:numRef>
          </c:val>
          <c:extLst>
            <c:ext xmlns:c16="http://schemas.microsoft.com/office/drawing/2014/chart" uri="{C3380CC4-5D6E-409C-BE32-E72D297353CC}">
              <c16:uniqueId val="{00000004-32FC-40C2-B1AD-D5DB0047DF8A}"/>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t"/>
      <c:overlay val="0"/>
      <c:spPr>
        <a:solidFill>
          <a:srgbClr val="FFFFFF"/>
        </a:solidFill>
        <a:ln>
          <a:noFill/>
        </a:ln>
        <a:effectLst/>
      </c:spPr>
      <c:txPr>
        <a:bodyPr rot="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Analysis!PivotTable4</c:name>
    <c:fmtId val="7"/>
  </c:pivotSource>
  <c:chart>
    <c:autoTitleDeleted val="1"/>
    <c:pivotFmts>
      <c:pivotFmt>
        <c:idx val="0"/>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F8AF3"/>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53200756263424"/>
          <c:y val="0.16080416560833122"/>
          <c:w val="0.80833769530591848"/>
          <c:h val="0.83314442382600262"/>
        </c:manualLayout>
      </c:layout>
      <c:barChart>
        <c:barDir val="bar"/>
        <c:grouping val="clustered"/>
        <c:varyColors val="0"/>
        <c:ser>
          <c:idx val="0"/>
          <c:order val="0"/>
          <c:tx>
            <c:strRef>
              <c:f>'Dashboard Analysis'!$B$22:$B$23</c:f>
              <c:strCache>
                <c:ptCount val="1"/>
                <c:pt idx="0">
                  <c:v>Regular</c:v>
                </c:pt>
              </c:strCache>
            </c:strRef>
          </c:tx>
          <c:spPr>
            <a:solidFill>
              <a:srgbClr val="8F8AF3"/>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Analysis'!$A$24:$A$26</c:f>
              <c:strCache>
                <c:ptCount val="3"/>
                <c:pt idx="0">
                  <c:v>Tier 1</c:v>
                </c:pt>
                <c:pt idx="1">
                  <c:v>Tier 2</c:v>
                </c:pt>
                <c:pt idx="2">
                  <c:v>Tier 3</c:v>
                </c:pt>
              </c:strCache>
            </c:strRef>
          </c:cat>
          <c:val>
            <c:numRef>
              <c:f>'Dashboard Analysis'!$B$24:$B$26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138-4038-9F33-F8E2CAEDCEE4}"/>
            </c:ext>
          </c:extLst>
        </c:ser>
        <c:ser>
          <c:idx val="1"/>
          <c:order val="1"/>
          <c:tx>
            <c:strRef>
              <c:f>'Dashboard Analysis'!$C$22:$C$23</c:f>
              <c:strCache>
                <c:ptCount val="1"/>
                <c:pt idx="0">
                  <c:v>Low Fat</c:v>
                </c:pt>
              </c:strCache>
            </c:strRef>
          </c:tx>
          <c:spPr>
            <a:solidFill>
              <a:srgbClr val="625BEE"/>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Analysis'!$A$24:$A$26</c:f>
              <c:strCache>
                <c:ptCount val="3"/>
                <c:pt idx="0">
                  <c:v>Tier 1</c:v>
                </c:pt>
                <c:pt idx="1">
                  <c:v>Tier 2</c:v>
                </c:pt>
                <c:pt idx="2">
                  <c:v>Tier 3</c:v>
                </c:pt>
              </c:strCache>
            </c:strRef>
          </c:cat>
          <c:val>
            <c:numRef>
              <c:f>'Dashboard Analysis'!$C$24:$C$26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138-4038-9F33-F8E2CAEDCEE4}"/>
            </c:ext>
          </c:extLst>
        </c:ser>
        <c:dLbls>
          <c:showLegendKey val="0"/>
          <c:showVal val="0"/>
          <c:showCatName val="0"/>
          <c:showSerName val="0"/>
          <c:showPercent val="0"/>
          <c:showBubbleSize val="0"/>
        </c:dLbls>
        <c:gapWidth val="60"/>
        <c:axId val="2017155568"/>
        <c:axId val="2017153488"/>
      </c:barChart>
      <c:catAx>
        <c:axId val="2017155568"/>
        <c:scaling>
          <c:orientation val="minMax"/>
        </c:scaling>
        <c:delete val="0"/>
        <c:axPos val="l"/>
        <c:numFmt formatCode="General" sourceLinked="1"/>
        <c:majorTickMark val="none"/>
        <c:minorTickMark val="none"/>
        <c:tickLblPos val="nextTo"/>
        <c:spPr>
          <a:noFill/>
          <a:ln w="9525" cap="flat" cmpd="sng" algn="ctr">
            <a:solidFill>
              <a:srgbClr val="E8E8F2"/>
            </a:solidFill>
            <a:round/>
          </a:ln>
          <a:effectLst/>
        </c:spPr>
        <c:txPr>
          <a:bodyPr rot="-6000000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crossAx val="2017153488"/>
        <c:crosses val="autoZero"/>
        <c:auto val="1"/>
        <c:lblAlgn val="ctr"/>
        <c:lblOffset val="100"/>
        <c:noMultiLvlLbl val="0"/>
      </c:catAx>
      <c:valAx>
        <c:axId val="2017153488"/>
        <c:scaling>
          <c:orientation val="minMax"/>
        </c:scaling>
        <c:delete val="1"/>
        <c:axPos val="b"/>
        <c:numFmt formatCode="#,##0.0,&quot;K&quot;" sourceLinked="0"/>
        <c:majorTickMark val="none"/>
        <c:minorTickMark val="none"/>
        <c:tickLblPos val="nextTo"/>
        <c:crossAx val="2017155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Analysis!PivotTable3</c:name>
    <c:fmtId val="12"/>
  </c:pivotSource>
  <c:chart>
    <c:autoTitleDeleted val="1"/>
    <c:pivotFmts>
      <c:pivotFmt>
        <c:idx val="0"/>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87357830271213"/>
          <c:y val="7.407407407407407E-2"/>
          <c:w val="0.67414720034995623"/>
          <c:h val="0.8416746864975212"/>
        </c:manualLayout>
      </c:layout>
      <c:barChart>
        <c:barDir val="bar"/>
        <c:grouping val="clustered"/>
        <c:varyColors val="0"/>
        <c:ser>
          <c:idx val="0"/>
          <c:order val="0"/>
          <c:tx>
            <c:strRef>
              <c:f>'Dashboard Analysis'!$B$36</c:f>
              <c:strCache>
                <c:ptCount val="1"/>
                <c:pt idx="0">
                  <c:v>Total</c:v>
                </c:pt>
              </c:strCache>
            </c:strRef>
          </c:tx>
          <c:spPr>
            <a:solidFill>
              <a:srgbClr val="625BEE"/>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Analysis'!$A$37:$A$52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'Dashboard Analysis'!$B$37:$B$52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880-4DCF-A9F4-1613F475732C}"/>
            </c:ext>
          </c:extLst>
        </c:ser>
        <c:dLbls>
          <c:dLblPos val="outEnd"/>
          <c:showLegendKey val="0"/>
          <c:showVal val="1"/>
          <c:showCatName val="0"/>
          <c:showSerName val="0"/>
          <c:showPercent val="0"/>
          <c:showBubbleSize val="0"/>
        </c:dLbls>
        <c:gapWidth val="50"/>
        <c:axId val="1413005120"/>
        <c:axId val="1408287152"/>
      </c:barChart>
      <c:catAx>
        <c:axId val="1413005120"/>
        <c:scaling>
          <c:orientation val="minMax"/>
        </c:scaling>
        <c:delete val="0"/>
        <c:axPos val="l"/>
        <c:numFmt formatCode="General" sourceLinked="1"/>
        <c:majorTickMark val="none"/>
        <c:minorTickMark val="none"/>
        <c:tickLblPos val="nextTo"/>
        <c:spPr>
          <a:noFill/>
          <a:ln w="9525" cap="flat" cmpd="sng" algn="ctr">
            <a:solidFill>
              <a:srgbClr val="E8E8F2"/>
            </a:solidFill>
            <a:round/>
          </a:ln>
          <a:effectLst/>
        </c:spPr>
        <c:txPr>
          <a:bodyPr rot="-6000000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crossAx val="1408287152"/>
        <c:crosses val="autoZero"/>
        <c:auto val="1"/>
        <c:lblAlgn val="ctr"/>
        <c:lblOffset val="100"/>
        <c:noMultiLvlLbl val="0"/>
      </c:catAx>
      <c:valAx>
        <c:axId val="1408287152"/>
        <c:scaling>
          <c:orientation val="minMax"/>
        </c:scaling>
        <c:delete val="1"/>
        <c:axPos val="b"/>
        <c:numFmt formatCode="#,##0.0,&quot;K&quot;" sourceLinked="0"/>
        <c:majorTickMark val="none"/>
        <c:minorTickMark val="none"/>
        <c:tickLblPos val="nextTo"/>
        <c:crossAx val="14130051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25BEE">
              <a:alpha val="40000"/>
            </a:srgbClr>
          </a:solidFill>
          <a:ln w="25400">
            <a:solidFill>
              <a:srgbClr val="625BEE"/>
            </a:solidFill>
          </a:ln>
          <a:effectLst/>
        </c:spPr>
        <c:marker>
          <c:symbol val="none"/>
        </c:marker>
        <c:dLbl>
          <c:idx val="0"/>
          <c:numFmt formatCode="#,##0.0,&quot;K&quot;"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25BEE">
              <a:alpha val="40000"/>
            </a:srgbClr>
          </a:solidFill>
          <a:ln w="25400">
            <a:solidFill>
              <a:srgbClr val="625BEE"/>
            </a:solidFill>
          </a:ln>
          <a:effectLst/>
        </c:spPr>
      </c:pivotFmt>
      <c:pivotFmt>
        <c:idx val="4"/>
        <c:spPr>
          <a:solidFill>
            <a:srgbClr val="625BEE">
              <a:alpha val="40000"/>
            </a:srgbClr>
          </a:solidFill>
          <a:ln w="25400">
            <a:solidFill>
              <a:srgbClr val="625BEE"/>
            </a:solidFill>
          </a:ln>
          <a:effectLst/>
        </c:spPr>
      </c:pivotFmt>
      <c:pivotFmt>
        <c:idx val="5"/>
        <c:spPr>
          <a:solidFill>
            <a:srgbClr val="625BEE">
              <a:alpha val="40000"/>
            </a:srgbClr>
          </a:solidFill>
          <a:ln w="25400">
            <a:solidFill>
              <a:srgbClr val="625BEE"/>
            </a:solidFill>
          </a:ln>
          <a:effectLst/>
        </c:spPr>
      </c:pivotFmt>
    </c:pivotFmts>
    <c:plotArea>
      <c:layout/>
      <c:areaChart>
        <c:grouping val="standard"/>
        <c:varyColors val="0"/>
        <c:ser>
          <c:idx val="0"/>
          <c:order val="0"/>
          <c:tx>
            <c:strRef>
              <c:f>'Dashboard Analysis'!$B$57</c:f>
              <c:strCache>
                <c:ptCount val="1"/>
                <c:pt idx="0">
                  <c:v>Total</c:v>
                </c:pt>
              </c:strCache>
            </c:strRef>
          </c:tx>
          <c:spPr>
            <a:solidFill>
              <a:srgbClr val="625BEE">
                <a:alpha val="40000"/>
              </a:srgbClr>
            </a:solidFill>
            <a:ln w="25400">
              <a:solidFill>
                <a:srgbClr val="625BEE"/>
              </a:solidFill>
            </a:ln>
            <a:effectLst/>
          </c:spPr>
          <c:dPt>
            <c:idx val="0"/>
            <c:bubble3D val="0"/>
            <c:extLst>
              <c:ext xmlns:c16="http://schemas.microsoft.com/office/drawing/2014/chart" uri="{C3380CC4-5D6E-409C-BE32-E72D297353CC}">
                <c16:uniqueId val="{00000002-2DD4-4747-8E51-4C1FE55A9E5B}"/>
              </c:ext>
            </c:extLst>
          </c:dPt>
          <c:dPt>
            <c:idx val="1"/>
            <c:bubble3D val="0"/>
            <c:extLst>
              <c:ext xmlns:c16="http://schemas.microsoft.com/office/drawing/2014/chart" uri="{C3380CC4-5D6E-409C-BE32-E72D297353CC}">
                <c16:uniqueId val="{00000003-2DD4-4747-8E51-4C1FE55A9E5B}"/>
              </c:ext>
            </c:extLst>
          </c:dPt>
          <c:dPt>
            <c:idx val="2"/>
            <c:bubble3D val="0"/>
            <c:extLst>
              <c:ext xmlns:c16="http://schemas.microsoft.com/office/drawing/2014/chart" uri="{C3380CC4-5D6E-409C-BE32-E72D297353CC}">
                <c16:uniqueId val="{00000004-2DD4-4747-8E51-4C1FE55A9E5B}"/>
              </c:ext>
            </c:extLst>
          </c:dPt>
          <c:dLbls>
            <c:numFmt formatCode="#,##0.0,&quot;K&quot;"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 Analysis'!$A$58:$A$66</c:f>
              <c:strCache>
                <c:ptCount val="9"/>
                <c:pt idx="0">
                  <c:v>2011</c:v>
                </c:pt>
                <c:pt idx="1">
                  <c:v>2012</c:v>
                </c:pt>
                <c:pt idx="2">
                  <c:v>2014</c:v>
                </c:pt>
                <c:pt idx="3">
                  <c:v>2015</c:v>
                </c:pt>
                <c:pt idx="4">
                  <c:v>2016</c:v>
                </c:pt>
                <c:pt idx="5">
                  <c:v>2017</c:v>
                </c:pt>
                <c:pt idx="6">
                  <c:v>2018</c:v>
                </c:pt>
                <c:pt idx="7">
                  <c:v>2020</c:v>
                </c:pt>
                <c:pt idx="8">
                  <c:v>2022</c:v>
                </c:pt>
              </c:strCache>
            </c:strRef>
          </c:cat>
          <c:val>
            <c:numRef>
              <c:f>'Dashboard Analysis'!$B$58:$B$66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DD4-4747-8E51-4C1FE55A9E5B}"/>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1420833536"/>
        <c:axId val="1420839360"/>
      </c:areaChart>
      <c:catAx>
        <c:axId val="142083353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rgbClr val="20243A"/>
                </a:solidFill>
                <a:latin typeface="+mn-lt"/>
                <a:ea typeface="+mn-ea"/>
                <a:cs typeface="+mn-cs"/>
              </a:defRPr>
            </a:pPr>
            <a:endParaRPr lang="en-US"/>
          </a:p>
        </c:txPr>
        <c:crossAx val="1420839360"/>
        <c:crosses val="autoZero"/>
        <c:auto val="1"/>
        <c:lblAlgn val="ctr"/>
        <c:lblOffset val="100"/>
        <c:noMultiLvlLbl val="0"/>
      </c:catAx>
      <c:valAx>
        <c:axId val="1420839360"/>
        <c:scaling>
          <c:orientation val="minMax"/>
        </c:scaling>
        <c:delete val="1"/>
        <c:axPos val="l"/>
        <c:numFmt formatCode="#,##0.0,&quot;K&quot;" sourceLinked="0"/>
        <c:majorTickMark val="out"/>
        <c:minorTickMark val="none"/>
        <c:tickLblPos val="nextTo"/>
        <c:crossAx val="14208335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FFFFF"/>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Analysis!PivotTable7</c:name>
    <c:fmtId val="21"/>
  </c:pivotSource>
  <c:chart>
    <c:autoTitleDeleted val="1"/>
    <c:pivotFmts>
      <c:pivotFmt>
        <c:idx val="0"/>
        <c:spPr>
          <a:solidFill>
            <a:srgbClr val="625BEE"/>
          </a:solidFill>
          <a:ln w="19050">
            <a:solidFill>
              <a:schemeClr val="lt1"/>
            </a:solidFill>
          </a:ln>
          <a:effectLst/>
        </c:spPr>
        <c:marker>
          <c:symbol val="none"/>
        </c:marker>
        <c:dLbl>
          <c:idx val="0"/>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625BEE"/>
          </a:solidFill>
          <a:ln w="19050">
            <a:solidFill>
              <a:schemeClr val="lt1"/>
            </a:solidFill>
          </a:ln>
          <a:effectLst/>
        </c:spPr>
        <c:marker>
          <c:symbol val="none"/>
        </c:marker>
        <c:dLbl>
          <c:idx val="0"/>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625BEE"/>
          </a:solidFill>
          <a:ln w="19050">
            <a:solidFill>
              <a:schemeClr val="lt1"/>
            </a:solidFill>
          </a:ln>
          <a:effectLst/>
        </c:spPr>
      </c:pivotFmt>
      <c:pivotFmt>
        <c:idx val="3"/>
        <c:spPr>
          <a:solidFill>
            <a:srgbClr val="625BEE"/>
          </a:solidFill>
          <a:ln w="19050">
            <a:solidFill>
              <a:schemeClr val="lt1"/>
            </a:solidFill>
          </a:ln>
          <a:effectLst/>
        </c:spPr>
      </c:pivotFmt>
      <c:pivotFmt>
        <c:idx val="4"/>
        <c:spPr>
          <a:solidFill>
            <a:srgbClr val="625BEE"/>
          </a:solidFill>
          <a:ln w="19050">
            <a:solidFill>
              <a:schemeClr val="lt1"/>
            </a:solidFill>
          </a:ln>
          <a:effectLst/>
        </c:spPr>
      </c:pivotFmt>
      <c:pivotFmt>
        <c:idx val="5"/>
        <c:spPr>
          <a:solidFill>
            <a:srgbClr val="625BEE"/>
          </a:solidFill>
          <a:ln w="19050">
            <a:solidFill>
              <a:schemeClr val="lt1"/>
            </a:solidFill>
          </a:ln>
          <a:effectLst/>
        </c:spPr>
        <c:marker>
          <c:symbol val="none"/>
        </c:marker>
        <c:dLbl>
          <c:idx val="0"/>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4C1FA"/>
          </a:solidFill>
          <a:ln w="19050">
            <a:solidFill>
              <a:schemeClr val="lt1"/>
            </a:solidFill>
          </a:ln>
          <a:effectLst/>
        </c:spPr>
      </c:pivotFmt>
      <c:pivotFmt>
        <c:idx val="7"/>
        <c:spPr>
          <a:solidFill>
            <a:srgbClr val="8F8AF3"/>
          </a:solidFill>
          <a:ln w="19050">
            <a:solidFill>
              <a:schemeClr val="lt1"/>
            </a:solidFill>
          </a:ln>
          <a:effectLst/>
        </c:spPr>
      </c:pivotFmt>
      <c:pivotFmt>
        <c:idx val="8"/>
        <c:spPr>
          <a:solidFill>
            <a:srgbClr val="625BEE"/>
          </a:solidFill>
          <a:ln w="19050">
            <a:solidFill>
              <a:schemeClr val="lt1"/>
            </a:solidFill>
          </a:ln>
          <a:effectLst/>
        </c:spPr>
      </c:pivotFmt>
    </c:pivotFmts>
    <c:plotArea>
      <c:layout>
        <c:manualLayout>
          <c:layoutTarget val="inner"/>
          <c:xMode val="edge"/>
          <c:yMode val="edge"/>
          <c:x val="0.1061693032469041"/>
          <c:y val="0.20418856203319463"/>
          <c:w val="0.67683939784964997"/>
          <c:h val="0.79365435665833384"/>
        </c:manualLayout>
      </c:layout>
      <c:doughnutChart>
        <c:varyColors val="1"/>
        <c:ser>
          <c:idx val="0"/>
          <c:order val="0"/>
          <c:tx>
            <c:strRef>
              <c:f>'Dashboard Analysis'!$B$72</c:f>
              <c:strCache>
                <c:ptCount val="1"/>
                <c:pt idx="0">
                  <c:v>Total</c:v>
                </c:pt>
              </c:strCache>
            </c:strRef>
          </c:tx>
          <c:dPt>
            <c:idx val="0"/>
            <c:bubble3D val="0"/>
            <c:spPr>
              <a:solidFill>
                <a:srgbClr val="C4C1FA"/>
              </a:solidFill>
              <a:ln w="19050">
                <a:solidFill>
                  <a:schemeClr val="lt1"/>
                </a:solidFill>
              </a:ln>
              <a:effectLst/>
            </c:spPr>
            <c:extLst>
              <c:ext xmlns:c16="http://schemas.microsoft.com/office/drawing/2014/chart" uri="{C3380CC4-5D6E-409C-BE32-E72D297353CC}">
                <c16:uniqueId val="{00000001-387E-4DE3-B059-565D7B4BDDAA}"/>
              </c:ext>
            </c:extLst>
          </c:dPt>
          <c:dPt>
            <c:idx val="1"/>
            <c:bubble3D val="0"/>
            <c:spPr>
              <a:solidFill>
                <a:srgbClr val="8F8AF3"/>
              </a:solidFill>
              <a:ln w="19050">
                <a:solidFill>
                  <a:schemeClr val="lt1"/>
                </a:solidFill>
              </a:ln>
              <a:effectLst/>
            </c:spPr>
            <c:extLst>
              <c:ext xmlns:c16="http://schemas.microsoft.com/office/drawing/2014/chart" uri="{C3380CC4-5D6E-409C-BE32-E72D297353CC}">
                <c16:uniqueId val="{00000003-387E-4DE3-B059-565D7B4BDDAA}"/>
              </c:ext>
            </c:extLst>
          </c:dPt>
          <c:dPt>
            <c:idx val="2"/>
            <c:bubble3D val="0"/>
            <c:spPr>
              <a:solidFill>
                <a:srgbClr val="625BEE"/>
              </a:solidFill>
              <a:ln w="19050">
                <a:solidFill>
                  <a:schemeClr val="lt1"/>
                </a:solidFill>
              </a:ln>
              <a:effectLst/>
            </c:spPr>
            <c:extLst>
              <c:ext xmlns:c16="http://schemas.microsoft.com/office/drawing/2014/chart" uri="{C3380CC4-5D6E-409C-BE32-E72D297353CC}">
                <c16:uniqueId val="{00000005-387E-4DE3-B059-565D7B4BDDAA}"/>
              </c:ext>
            </c:extLst>
          </c:dPt>
          <c:dLbls>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'Dashboard Analysis'!$A$73:$A$75</c:f>
              <c:strCache>
                <c:ptCount val="3"/>
                <c:pt idx="0">
                  <c:v>High</c:v>
                </c:pt>
                <c:pt idx="1">
                  <c:v>Medium</c:v>
                </c:pt>
                <c:pt idx="2">
                  <c:v>Small</c:v>
                </c:pt>
              </c:strCache>
            </c:strRef>
          </c:cat>
          <c:val>
            <c:numRef>
              <c:f>'Dashboard Analysis'!$B$73:$B$75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87E-4DE3-B059-565D7B4BDDAA}"/>
            </c:ext>
          </c:extLst>
        </c:ser>
        <c:dLbls>
          <c:showLegendKey val="0"/>
          <c:showVal val="0"/>
          <c:showCatName val="0"/>
          <c:showSerName val="0"/>
          <c:showPercent val="1"/>
          <c:showBubbleSize val="0"/>
          <c:showLeaderLines val="0"/>
        </c:dLbls>
        <c:firstSliceAng val="0"/>
        <c:holeSize val="80"/>
      </c:doughnutChart>
      <c:spPr>
        <a:noFill/>
        <a:ln>
          <a:noFill/>
        </a:ln>
        <a:effectLst/>
      </c:spPr>
    </c:plotArea>
    <c:legend>
      <c:legendPos val="t"/>
      <c:overlay val="0"/>
      <c:spPr>
        <a:solidFill>
          <a:srgbClr val="FFFFFF"/>
        </a:solidFill>
        <a:ln>
          <a:noFill/>
        </a:ln>
        <a:effectLst/>
      </c:spPr>
      <c:txPr>
        <a:bodyPr rot="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Analysis!PivotTable5</c:name>
    <c:fmtId val="25"/>
  </c:pivotSource>
  <c:chart>
    <c:autoTitleDeleted val="1"/>
    <c:pivotFmts>
      <c:pivotFmt>
        <c:idx val="0"/>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25BE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6146377386279944"/>
          <c:y val="2.0581553427637664E-2"/>
          <c:w val="0.4385362261372005"/>
          <c:h val="0.76993454580188181"/>
        </c:manualLayout>
      </c:layout>
      <c:barChart>
        <c:barDir val="bar"/>
        <c:grouping val="clustered"/>
        <c:varyColors val="0"/>
        <c:ser>
          <c:idx val="0"/>
          <c:order val="0"/>
          <c:tx>
            <c:strRef>
              <c:f>'Dashboard Analysis'!$B$95</c:f>
              <c:strCache>
                <c:ptCount val="1"/>
                <c:pt idx="0">
                  <c:v>Total</c:v>
                </c:pt>
              </c:strCache>
            </c:strRef>
          </c:tx>
          <c:spPr>
            <a:solidFill>
              <a:srgbClr val="625BEE"/>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Analysis'!$A$96:$A$99</c:f>
              <c:strCache>
                <c:ptCount val="4"/>
                <c:pt idx="0">
                  <c:v>Grocery Store</c:v>
                </c:pt>
                <c:pt idx="1">
                  <c:v>Supermarket Type3</c:v>
                </c:pt>
                <c:pt idx="2">
                  <c:v>Supermarket Type2</c:v>
                </c:pt>
                <c:pt idx="3">
                  <c:v>Supermarket Type1</c:v>
                </c:pt>
              </c:strCache>
            </c:strRef>
          </c:cat>
          <c:val>
            <c:numRef>
              <c:f>'Dashboard Analysis'!$B$96:$B$99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75A-4980-B212-22722F510305}"/>
            </c:ext>
          </c:extLst>
        </c:ser>
        <c:dLbls>
          <c:dLblPos val="outEnd"/>
          <c:showLegendKey val="0"/>
          <c:showVal val="1"/>
          <c:showCatName val="0"/>
          <c:showSerName val="0"/>
          <c:showPercent val="0"/>
          <c:showBubbleSize val="0"/>
        </c:dLbls>
        <c:gapWidth val="60"/>
        <c:axId val="1891956047"/>
        <c:axId val="1891957711"/>
      </c:barChart>
      <c:catAx>
        <c:axId val="1891956047"/>
        <c:scaling>
          <c:orientation val="minMax"/>
        </c:scaling>
        <c:delete val="0"/>
        <c:axPos val="l"/>
        <c:numFmt formatCode="General" sourceLinked="1"/>
        <c:majorTickMark val="none"/>
        <c:minorTickMark val="none"/>
        <c:tickLblPos val="nextTo"/>
        <c:spPr>
          <a:noFill/>
          <a:ln w="9525" cap="flat" cmpd="sng" algn="ctr">
            <a:solidFill>
              <a:srgbClr val="E8E8F2"/>
            </a:solidFill>
            <a:round/>
          </a:ln>
          <a:effectLst/>
        </c:spPr>
        <c:txPr>
          <a:bodyPr rot="-60000000" spcFirstLastPara="1" vertOverflow="ellipsis" vert="horz" wrap="square" anchor="ctr" anchorCtr="1"/>
          <a:lstStyle/>
          <a:p>
            <a:pPr>
              <a:defRPr sz="1000" b="0" i="0" u="none" strike="noStrike" kern="1200" baseline="0">
                <a:solidFill>
                  <a:srgbClr val="737990"/>
                </a:solidFill>
                <a:latin typeface="+mn-lt"/>
                <a:ea typeface="+mn-ea"/>
                <a:cs typeface="+mn-cs"/>
              </a:defRPr>
            </a:pPr>
            <a:endParaRPr lang="en-US"/>
          </a:p>
        </c:txPr>
        <c:crossAx val="1891957711"/>
        <c:crosses val="autoZero"/>
        <c:auto val="1"/>
        <c:lblAlgn val="ctr"/>
        <c:lblOffset val="100"/>
        <c:noMultiLvlLbl val="0"/>
      </c:catAx>
      <c:valAx>
        <c:axId val="1891957711"/>
        <c:scaling>
          <c:orientation val="minMax"/>
        </c:scaling>
        <c:delete val="1"/>
        <c:axPos val="b"/>
        <c:numFmt formatCode="#,##0.0,&quot;K&quot;" sourceLinked="0"/>
        <c:majorTickMark val="none"/>
        <c:minorTickMark val="none"/>
        <c:tickLblPos val="nextTo"/>
        <c:crossAx val="189195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625BEE"/>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25BEE"/>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25BEE"/>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625BEE"/>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Grocery Store</c:v>
              </c:pt>
              <c:pt idx="1">
                <c:v>Supermarket Type3</c:v>
              </c:pt>
              <c:pt idx="2">
                <c:v>Supermarket Type2</c:v>
              </c:pt>
              <c:pt idx="3">
                <c:v>Supermarket Type1</c:v>
              </c:pt>
            </c:strLit>
          </c:cat>
          <c:val>
            <c:numLit>
              <c:formatCode>General</c:formatCode>
              <c:ptCount val="4"/>
              <c:pt idx="0">
                <c:v>140.29468975069253</c:v>
              </c:pt>
              <c:pt idx="1">
                <c:v>139.80179101604284</c:v>
              </c:pt>
              <c:pt idx="2">
                <c:v>141.67863836206891</c:v>
              </c:pt>
              <c:pt idx="3">
                <c:v>141.21389506903375</c:v>
              </c:pt>
            </c:numLit>
          </c:val>
          <c:extLst>
            <c:ext xmlns:c16="http://schemas.microsoft.com/office/drawing/2014/chart" uri="{C3380CC4-5D6E-409C-BE32-E72D297353CC}">
              <c16:uniqueId val="{00000000-A5F9-4369-A6BF-3268C57D336D}"/>
            </c:ext>
          </c:extLst>
        </c:ser>
        <c:dLbls>
          <c:showLegendKey val="0"/>
          <c:showVal val="0"/>
          <c:showCatName val="0"/>
          <c:showSerName val="0"/>
          <c:showPercent val="0"/>
          <c:showBubbleSize val="0"/>
        </c:dLbls>
        <c:gapWidth val="60"/>
        <c:axId val="1987411727"/>
        <c:axId val="1987412975"/>
      </c:barChart>
      <c:catAx>
        <c:axId val="1987411727"/>
        <c:scaling>
          <c:orientation val="minMax"/>
        </c:scaling>
        <c:delete val="0"/>
        <c:axPos val="l"/>
        <c:numFmt formatCode="General" sourceLinked="1"/>
        <c:majorTickMark val="none"/>
        <c:minorTickMark val="none"/>
        <c:tickLblPos val="nextTo"/>
        <c:spPr>
          <a:noFill/>
          <a:ln w="9525">
            <a:solidFill>
              <a:srgbClr val="E8E8F2"/>
            </a:solidFill>
          </a:ln>
        </c:spPr>
        <c:txPr>
          <a:bodyPr/>
          <a:lstStyle/>
          <a:p>
            <a:pPr>
              <a:defRPr sz="1000">
                <a:solidFill>
                  <a:srgbClr val="737990"/>
                </a:solidFill>
              </a:defRPr>
            </a:pPr>
            <a:endParaRPr lang="en-US"/>
          </a:p>
        </c:txPr>
        <c:crossAx val="1987412975"/>
        <c:crosses val="autoZero"/>
        <c:auto val="1"/>
        <c:lblAlgn val="ctr"/>
        <c:lblOffset val="100"/>
        <c:noMultiLvlLbl val="0"/>
      </c:catAx>
      <c:valAx>
        <c:axId val="1987412975"/>
        <c:scaling>
          <c:orientation val="minMax"/>
        </c:scaling>
        <c:delete val="1"/>
        <c:axPos val="b"/>
        <c:numFmt formatCode="General" sourceLinked="1"/>
        <c:majorTickMark val="none"/>
        <c:minorTickMark val="none"/>
        <c:tickLblPos val="nextTo"/>
        <c:crossAx val="1987411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Excel.xlsx]Dashboard Analysis!PivotTable10</c:name>
    <c:fmtId val="33"/>
  </c:pivotSource>
  <c:chart>
    <c:autoTitleDeleted val="1"/>
    <c:pivotFmts>
      <c:pivotFmt>
        <c:idx val="0"/>
        <c:spPr>
          <a:solidFill>
            <a:srgbClr val="625BEE"/>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25BEE"/>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25BEE"/>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Analysis'!$B$112</c:f>
              <c:strCache>
                <c:ptCount val="1"/>
                <c:pt idx="0">
                  <c:v>Total</c:v>
                </c:pt>
              </c:strCache>
            </c:strRef>
          </c:tx>
          <c:spPr>
            <a:solidFill>
              <a:srgbClr val="625BEE"/>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0243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Analysis'!$A$113:$A$116</c:f>
              <c:strCache>
                <c:ptCount val="4"/>
                <c:pt idx="0">
                  <c:v>Grocery Store</c:v>
                </c:pt>
                <c:pt idx="1">
                  <c:v>Supermarket Type3</c:v>
                </c:pt>
                <c:pt idx="2">
                  <c:v>Supermarket Type2</c:v>
                </c:pt>
                <c:pt idx="3">
                  <c:v>Supermarket Type1</c:v>
                </c:pt>
              </c:strCache>
            </c:strRef>
          </c:cat>
          <c:val>
            <c:numRef>
              <c:f>'Dashboard Analysis'!$B$113:$B$116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380-49EC-8580-04EECB04189F}"/>
            </c:ext>
          </c:extLst>
        </c:ser>
        <c:dLbls>
          <c:dLblPos val="outEnd"/>
          <c:showLegendKey val="0"/>
          <c:showVal val="1"/>
          <c:showCatName val="0"/>
          <c:showSerName val="0"/>
          <c:showPercent val="0"/>
          <c:showBubbleSize val="0"/>
        </c:dLbls>
        <c:gapWidth val="60"/>
        <c:axId val="1986393535"/>
        <c:axId val="1836179471"/>
      </c:barChart>
      <c:catAx>
        <c:axId val="1986393535"/>
        <c:scaling>
          <c:orientation val="minMax"/>
        </c:scaling>
        <c:delete val="0"/>
        <c:axPos val="l"/>
        <c:numFmt formatCode="General" sourceLinked="1"/>
        <c:majorTickMark val="none"/>
        <c:minorTickMark val="none"/>
        <c:tickLblPos val="nextTo"/>
        <c:spPr>
          <a:noFill/>
          <a:ln w="9525">
            <a:solidFill>
              <a:srgbClr val="E8E8F2"/>
            </a:solidFill>
          </a:ln>
        </c:spPr>
        <c:txPr>
          <a:bodyPr/>
          <a:lstStyle/>
          <a:p>
            <a:pPr>
              <a:defRPr sz="1000">
                <a:solidFill>
                  <a:srgbClr val="737990"/>
                </a:solidFill>
              </a:defRPr>
            </a:pPr>
            <a:endParaRPr lang="en-US"/>
          </a:p>
        </c:txPr>
        <c:crossAx val="1836179471"/>
        <c:crosses val="autoZero"/>
        <c:auto val="1"/>
        <c:lblAlgn val="ctr"/>
        <c:lblOffset val="100"/>
        <c:noMultiLvlLbl val="0"/>
      </c:catAx>
      <c:valAx>
        <c:axId val="1836179471"/>
        <c:scaling>
          <c:orientation val="minMax"/>
        </c:scaling>
        <c:delete val="1"/>
        <c:axPos val="b"/>
        <c:numFmt formatCode="0" sourceLinked="1"/>
        <c:majorTickMark val="none"/>
        <c:minorTickMark val="none"/>
        <c:tickLblPos val="nextTo"/>
        <c:crossAx val="1986393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E0ACA8F2-9DC0-4817-A5FD-EBCC4739992B}">
          <cx:tx>
            <cx:txData>
              <cx:f>_xlchart.v2.1</cx:f>
              <cx:v>Sales</cx:v>
            </cx:txData>
          </cx:tx>
          <cx:dataLabels>
            <cx:numFmt formatCode="#,##0.0,&quot;K&quot;" sourceLinked="0"/>
            <cx:spPr>
              <a:solidFill>
                <a:srgbClr val="FFFFFF"/>
              </a:solidFill>
            </cx:spPr>
            <cx:txPr>
              <a:bodyPr/>
              <a:lstStyle/>
              <a:p>
                <a:pPr>
                  <a:defRPr sz="1000">
                    <a:solidFill>
                      <a:srgbClr val="20243A"/>
                    </a:solidFill>
                  </a:defRPr>
                </a:pPr>
                <a:endParaRPr lang="en-US"/>
              </a:p>
            </cx:txPr>
            <cx:visibility seriesName="0" categoryName="0" value="1"/>
          </cx:dataLabels>
          <cx:dataId val="0"/>
        </cx:series>
      </cx:plotAreaRegion>
      <cx:axis id="0">
        <cx:catScaling gapWidth="0.0599999987"/>
        <cx:tickLabels/>
        <cx:txPr>
          <a:bodyPr/>
          <a:lstStyle/>
          <a:p>
            <a:pPr>
              <a:defRPr sz="1000">
                <a:solidFill>
                  <a:srgbClr val="737990"/>
                </a:solidFill>
              </a:defRPr>
            </a:pPr>
            <a:endParaRPr lang="en-US"/>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E0ACA8F2-9DC0-4817-A5FD-EBCC4739992B}">
          <cx:tx>
            <cx:txData>
              <cx:f>_xlchart.v2.4</cx:f>
              <cx:v>Sales</cx:v>
            </cx:txData>
          </cx:tx>
          <cx:dataPt idx="0">
            <cx:spPr>
              <a:solidFill>
                <a:srgbClr val="625BEE"/>
              </a:solidFill>
            </cx:spPr>
          </cx:dataPt>
          <cx:dataPt idx="1">
            <cx:spPr>
              <a:solidFill>
                <a:srgbClr val="8F8AF3"/>
              </a:solidFill>
            </cx:spPr>
          </cx:dataPt>
          <cx:dataPt idx="2">
            <cx:spPr>
              <a:solidFill>
                <a:srgbClr val="C4C1FA"/>
              </a:solidFill>
            </cx:spPr>
          </cx:dataPt>
          <cx:dataLabels>
            <cx:numFmt formatCode="#,##0.0,&quot;K&quot;" sourceLinked="0"/>
            <cx:spPr>
              <a:solidFill>
                <a:srgbClr val="FFFFFF"/>
              </a:solidFill>
            </cx:spPr>
            <cx:txPr>
              <a:bodyPr/>
              <a:lstStyle/>
              <a:p>
                <a:pPr>
                  <a:defRPr sz="1000">
                    <a:solidFill>
                      <a:srgbClr val="20243A"/>
                    </a:solidFill>
                  </a:defRPr>
                </a:pPr>
                <a:endParaRPr lang="en-US"/>
              </a:p>
            </cx:txPr>
            <cx:visibility seriesName="0" categoryName="0" value="1"/>
          </cx:dataLabels>
          <cx:dataId val="0"/>
        </cx:series>
      </cx:plotAreaRegion>
      <cx:axis id="0">
        <cx:catScaling gapWidth="0.349999994"/>
        <cx:tickLabels/>
        <cx:txPr>
          <a:bodyPr/>
          <a:lstStyle/>
          <a:p>
            <a:pPr>
              <a:defRPr sz="1000">
                <a:solidFill>
                  <a:srgbClr val="737990"/>
                </a:solidFill>
              </a:defRPr>
            </a:pPr>
            <a:endParaRPr lang="en-US"/>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apos;Dashboard Analysis&apos;!A1"/><Relationship Id="rId16" Type="http://schemas.openxmlformats.org/officeDocument/2006/relationships/image" Target="../media/image6.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184150</xdr:colOff>
      <xdr:row>2</xdr:row>
      <xdr:rowOff>6351</xdr:rowOff>
    </xdr:from>
    <xdr:to>
      <xdr:col>6</xdr:col>
      <xdr:colOff>508000</xdr:colOff>
      <xdr:row>8</xdr:row>
      <xdr:rowOff>63500</xdr:rowOff>
    </xdr:to>
    <mc:AlternateContent xmlns:mc="http://schemas.openxmlformats.org/markup-compatibility/2006" xmlns:a14="http://schemas.microsoft.com/office/drawing/2010/main">
      <mc:Choice Requires="a14">
        <xdr:graphicFrame macro="">
          <xdr:nvGraphicFramePr>
            <xdr:cNvPr id="5" name="Outlet Size">
              <a:extLst>
                <a:ext uri="{FF2B5EF4-FFF2-40B4-BE49-F238E27FC236}">
                  <a16:creationId xmlns:a16="http://schemas.microsoft.com/office/drawing/2014/main" id="{A37336B8-A1DD-4670-9B10-1A387612D02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667250" y="400051"/>
              <a:ext cx="1644650" cy="125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92075</xdr:colOff>
      <xdr:row>10</xdr:row>
      <xdr:rowOff>69849</xdr:rowOff>
    </xdr:from>
    <xdr:to>
      <xdr:col>3</xdr:col>
      <xdr:colOff>1028700</xdr:colOff>
      <xdr:row>16</xdr:row>
      <xdr:rowOff>152400</xdr:rowOff>
    </xdr:to>
    <xdr:graphicFrame macro="">
      <xdr:nvGraphicFramePr>
        <xdr:cNvPr id="2" name="Chart 1">
          <a:extLst>
            <a:ext uri="{FF2B5EF4-FFF2-40B4-BE49-F238E27FC236}">
              <a16:creationId xmlns:a16="http://schemas.microsoft.com/office/drawing/2014/main" id="{4F250ABB-49D4-42CC-8B1C-9C4BC0B86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79375</xdr:colOff>
      <xdr:row>21</xdr:row>
      <xdr:rowOff>47625</xdr:rowOff>
    </xdr:from>
    <xdr:to>
      <xdr:col>6</xdr:col>
      <xdr:colOff>387350</xdr:colOff>
      <xdr:row>31</xdr:row>
      <xdr:rowOff>120650</xdr:rowOff>
    </xdr:to>
    <xdr:graphicFrame macro="">
      <xdr:nvGraphicFramePr>
        <xdr:cNvPr id="3" name="Chart 2">
          <a:extLst>
            <a:ext uri="{FF2B5EF4-FFF2-40B4-BE49-F238E27FC236}">
              <a16:creationId xmlns:a16="http://schemas.microsoft.com/office/drawing/2014/main" id="{F7AABFD0-82C8-4BCF-AB85-671D014AC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92075</xdr:colOff>
      <xdr:row>35</xdr:row>
      <xdr:rowOff>15875</xdr:rowOff>
    </xdr:from>
    <xdr:to>
      <xdr:col>7</xdr:col>
      <xdr:colOff>368300</xdr:colOff>
      <xdr:row>52</xdr:row>
      <xdr:rowOff>6350</xdr:rowOff>
    </xdr:to>
    <xdr:graphicFrame macro="">
      <xdr:nvGraphicFramePr>
        <xdr:cNvPr id="4" name="Chart 3">
          <a:extLst>
            <a:ext uri="{FF2B5EF4-FFF2-40B4-BE49-F238E27FC236}">
              <a16:creationId xmlns:a16="http://schemas.microsoft.com/office/drawing/2014/main" id="{6015DF85-07F2-4EE8-AC8A-728D9F3B7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117475</xdr:colOff>
      <xdr:row>56</xdr:row>
      <xdr:rowOff>38099</xdr:rowOff>
    </xdr:from>
    <xdr:to>
      <xdr:col>6</xdr:col>
      <xdr:colOff>469900</xdr:colOff>
      <xdr:row>65</xdr:row>
      <xdr:rowOff>177800</xdr:rowOff>
    </xdr:to>
    <xdr:graphicFrame macro="">
      <xdr:nvGraphicFramePr>
        <xdr:cNvPr id="8" name="Chart 7">
          <a:extLst>
            <a:ext uri="{FF2B5EF4-FFF2-40B4-BE49-F238E27FC236}">
              <a16:creationId xmlns:a16="http://schemas.microsoft.com/office/drawing/2014/main" id="{1FA58215-E0D3-41E8-8780-A871E0E2B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47625</xdr:colOff>
      <xdr:row>71</xdr:row>
      <xdr:rowOff>50800</xdr:rowOff>
    </xdr:from>
    <xdr:to>
      <xdr:col>4</xdr:col>
      <xdr:colOff>457200</xdr:colOff>
      <xdr:row>77</xdr:row>
      <xdr:rowOff>127000</xdr:rowOff>
    </xdr:to>
    <xdr:graphicFrame macro="">
      <xdr:nvGraphicFramePr>
        <xdr:cNvPr id="9" name="Chart 8">
          <a:extLst>
            <a:ext uri="{FF2B5EF4-FFF2-40B4-BE49-F238E27FC236}">
              <a16:creationId xmlns:a16="http://schemas.microsoft.com/office/drawing/2014/main" id="{16C3245D-BC84-4740-990E-C9A82CA01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63500</xdr:colOff>
      <xdr:row>83</xdr:row>
      <xdr:rowOff>47625</xdr:rowOff>
    </xdr:from>
    <xdr:to>
      <xdr:col>8</xdr:col>
      <xdr:colOff>431800</xdr:colOff>
      <xdr:row>89</xdr:row>
      <xdr:rowOff>38100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9C60C2FE-F734-43DA-B061-1C713352DC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254500" y="16583025"/>
              <a:ext cx="2349500" cy="11842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117475</xdr:colOff>
      <xdr:row>94</xdr:row>
      <xdr:rowOff>28575</xdr:rowOff>
    </xdr:from>
    <xdr:to>
      <xdr:col>5</xdr:col>
      <xdr:colOff>171450</xdr:colOff>
      <xdr:row>100</xdr:row>
      <xdr:rowOff>76200</xdr:rowOff>
    </xdr:to>
    <xdr:graphicFrame macro="">
      <xdr:nvGraphicFramePr>
        <xdr:cNvPr id="6" name="Chart 5">
          <a:extLst>
            <a:ext uri="{FF2B5EF4-FFF2-40B4-BE49-F238E27FC236}">
              <a16:creationId xmlns:a16="http://schemas.microsoft.com/office/drawing/2014/main" id="{33D9F78D-1E61-410A-B787-8D3AFF09C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149225</xdr:colOff>
      <xdr:row>102</xdr:row>
      <xdr:rowOff>3175</xdr:rowOff>
    </xdr:from>
    <xdr:to>
      <xdr:col>5</xdr:col>
      <xdr:colOff>146050</xdr:colOff>
      <xdr:row>108</xdr:row>
      <xdr:rowOff>165100</xdr:rowOff>
    </xdr:to>
    <xdr:graphicFrame macro="">
      <xdr:nvGraphicFramePr>
        <xdr:cNvPr id="7" name="Chart 6">
          <a:extLst>
            <a:ext uri="{FF2B5EF4-FFF2-40B4-BE49-F238E27FC236}">
              <a16:creationId xmlns:a16="http://schemas.microsoft.com/office/drawing/2014/main" id="{0FB3A03E-FCB5-4DF2-B6F5-35F44C1F5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111125</xdr:colOff>
      <xdr:row>111</xdr:row>
      <xdr:rowOff>15875</xdr:rowOff>
    </xdr:from>
    <xdr:to>
      <xdr:col>5</xdr:col>
      <xdr:colOff>158750</xdr:colOff>
      <xdr:row>118</xdr:row>
      <xdr:rowOff>25400</xdr:rowOff>
    </xdr:to>
    <xdr:graphicFrame macro="">
      <xdr:nvGraphicFramePr>
        <xdr:cNvPr id="11" name="Chart 10">
          <a:extLst>
            <a:ext uri="{FF2B5EF4-FFF2-40B4-BE49-F238E27FC236}">
              <a16:creationId xmlns:a16="http://schemas.microsoft.com/office/drawing/2014/main" id="{C962269A-4F9C-4E10-A680-A50FB1777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114300</xdr:colOff>
      <xdr:row>109</xdr:row>
      <xdr:rowOff>107950</xdr:rowOff>
    </xdr:from>
    <xdr:to>
      <xdr:col>11</xdr:col>
      <xdr:colOff>622300</xdr:colOff>
      <xdr:row>123</xdr:row>
      <xdr:rowOff>41269</xdr:rowOff>
    </xdr:to>
    <mc:AlternateContent xmlns:mc="http://schemas.openxmlformats.org/markup-compatibility/2006">
      <mc:Choice xmlns:a14="http://schemas.microsoft.com/office/drawing/2010/main" Requires="a14">
        <xdr:graphicFrame macro="">
          <xdr:nvGraphicFramePr>
            <xdr:cNvPr id="12" name="Item Type">
              <a:extLst>
                <a:ext uri="{FF2B5EF4-FFF2-40B4-BE49-F238E27FC236}">
                  <a16:creationId xmlns:a16="http://schemas.microsoft.com/office/drawing/2014/main" id="{0C762F39-B8FF-47B6-9907-C40DC0AB405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429500" y="218313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190500</xdr:colOff>
      <xdr:row>109</xdr:row>
      <xdr:rowOff>127000</xdr:rowOff>
    </xdr:from>
    <xdr:to>
      <xdr:col>9</xdr:col>
      <xdr:colOff>38100</xdr:colOff>
      <xdr:row>123</xdr:row>
      <xdr:rowOff>60319</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3B127D6B-3EF2-433B-9E9F-36803381523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5524500" y="218503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7</xdr:row>
      <xdr:rowOff>38100</xdr:rowOff>
    </xdr:from>
    <xdr:to>
      <xdr:col>9</xdr:col>
      <xdr:colOff>215000</xdr:colOff>
      <xdr:row>13</xdr:row>
      <xdr:rowOff>225000</xdr:rowOff>
    </xdr:to>
    <mc:AlternateContent xmlns:mc="http://schemas.openxmlformats.org/markup-compatibility/2006">
      <mc:Choice xmlns:a14="http://schemas.microsoft.com/office/drawing/2010/main" Requires="a14">
        <xdr:graphicFrame macro="">
          <xdr:nvGraphicFramePr>
            <xdr:cNvPr id="12" name="Outlet Size 1">
              <a:extLst>
                <a:ext uri="{FF2B5EF4-FFF2-40B4-BE49-F238E27FC236}">
                  <a16:creationId xmlns:a16="http://schemas.microsoft.com/office/drawing/2014/main" id="{BBB5166F-DA68-44BC-942A-AE95D3CA808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960437" y="1301752"/>
              <a:ext cx="1644650" cy="125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57150</xdr:colOff>
      <xdr:row>38</xdr:row>
      <xdr:rowOff>38100</xdr:rowOff>
    </xdr:from>
    <xdr:to>
      <xdr:col>47</xdr:col>
      <xdr:colOff>215000</xdr:colOff>
      <xdr:row>51</xdr:row>
      <xdr:rowOff>225000</xdr:rowOff>
    </xdr:to>
    <xdr:graphicFrame macro="">
      <xdr:nvGraphicFramePr>
        <xdr:cNvPr id="34" name="Chart 33">
          <a:extLst>
            <a:ext uri="{FF2B5EF4-FFF2-40B4-BE49-F238E27FC236}">
              <a16:creationId xmlns:a16="http://schemas.microsoft.com/office/drawing/2014/main" id="{713BF71D-4E62-43E0-89F4-90BF098E5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57150</xdr:colOff>
      <xdr:row>56</xdr:row>
      <xdr:rowOff>38100</xdr:rowOff>
    </xdr:from>
    <xdr:to>
      <xdr:col>47</xdr:col>
      <xdr:colOff>215000</xdr:colOff>
      <xdr:row>68</xdr:row>
      <xdr:rowOff>225000</xdr:rowOff>
    </xdr:to>
    <xdr:graphicFrame macro="">
      <xdr:nvGraphicFramePr>
        <xdr:cNvPr id="44" name="Chart 43">
          <a:extLst>
            <a:ext uri="{FF2B5EF4-FFF2-40B4-BE49-F238E27FC236}">
              <a16:creationId xmlns:a16="http://schemas.microsoft.com/office/drawing/2014/main" id="{CAF3BAC8-F24E-4686-A63E-AADC60366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57150</xdr:colOff>
      <xdr:row>38</xdr:row>
      <xdr:rowOff>38100</xdr:rowOff>
    </xdr:from>
    <xdr:to>
      <xdr:col>31</xdr:col>
      <xdr:colOff>215000</xdr:colOff>
      <xdr:row>51</xdr:row>
      <xdr:rowOff>225000</xdr:rowOff>
    </xdr:to>
    <xdr:graphicFrame macro="">
      <xdr:nvGraphicFramePr>
        <xdr:cNvPr id="32" name="Chart 31">
          <a:extLst>
            <a:ext uri="{FF2B5EF4-FFF2-40B4-BE49-F238E27FC236}">
              <a16:creationId xmlns:a16="http://schemas.microsoft.com/office/drawing/2014/main" id="{BDE09AE9-9EBE-4E49-826C-70046C73F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57150</xdr:colOff>
      <xdr:row>23</xdr:row>
      <xdr:rowOff>38100</xdr:rowOff>
    </xdr:from>
    <xdr:to>
      <xdr:col>47</xdr:col>
      <xdr:colOff>215000</xdr:colOff>
      <xdr:row>33</xdr:row>
      <xdr:rowOff>225000</xdr:rowOff>
    </xdr:to>
    <xdr:graphicFrame macro="">
      <xdr:nvGraphicFramePr>
        <xdr:cNvPr id="36" name="Chart 35">
          <a:extLst>
            <a:ext uri="{FF2B5EF4-FFF2-40B4-BE49-F238E27FC236}">
              <a16:creationId xmlns:a16="http://schemas.microsoft.com/office/drawing/2014/main" id="{265CEF89-EDFC-42D9-8DC4-D9BD56254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57150</xdr:colOff>
      <xdr:row>56</xdr:row>
      <xdr:rowOff>38100</xdr:rowOff>
    </xdr:from>
    <xdr:to>
      <xdr:col>15</xdr:col>
      <xdr:colOff>215000</xdr:colOff>
      <xdr:row>68</xdr:row>
      <xdr:rowOff>225000</xdr:rowOff>
    </xdr:to>
    <xdr:graphicFrame macro="">
      <xdr:nvGraphicFramePr>
        <xdr:cNvPr id="43" name="Chart 42">
          <a:extLst>
            <a:ext uri="{FF2B5EF4-FFF2-40B4-BE49-F238E27FC236}">
              <a16:creationId xmlns:a16="http://schemas.microsoft.com/office/drawing/2014/main" id="{23E25E35-9789-4518-9A9B-17C741B07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57150</xdr:colOff>
      <xdr:row>56</xdr:row>
      <xdr:rowOff>38100</xdr:rowOff>
    </xdr:from>
    <xdr:to>
      <xdr:col>31</xdr:col>
      <xdr:colOff>215000</xdr:colOff>
      <xdr:row>68</xdr:row>
      <xdr:rowOff>225000</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02EB33FA-6AAA-41D5-89A7-035A9EB9C3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794876" y="3452814"/>
              <a:ext cx="2349500" cy="11842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57150</xdr:colOff>
      <xdr:row>73</xdr:row>
      <xdr:rowOff>38100</xdr:rowOff>
    </xdr:from>
    <xdr:to>
      <xdr:col>15</xdr:col>
      <xdr:colOff>215000</xdr:colOff>
      <xdr:row>84</xdr:row>
      <xdr:rowOff>225000</xdr:rowOff>
    </xdr:to>
    <xdr:graphicFrame macro="">
      <xdr:nvGraphicFramePr>
        <xdr:cNvPr id="50" name="Chart 49">
          <a:extLst>
            <a:ext uri="{FF2B5EF4-FFF2-40B4-BE49-F238E27FC236}">
              <a16:creationId xmlns:a16="http://schemas.microsoft.com/office/drawing/2014/main" id="{E4DC7855-CEAC-4FF0-A256-2D9133D74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57150</xdr:colOff>
      <xdr:row>73</xdr:row>
      <xdr:rowOff>38100</xdr:rowOff>
    </xdr:from>
    <xdr:to>
      <xdr:col>31</xdr:col>
      <xdr:colOff>215000</xdr:colOff>
      <xdr:row>84</xdr:row>
      <xdr:rowOff>225000</xdr:rowOff>
    </xdr:to>
    <xdr:graphicFrame macro="">
      <xdr:nvGraphicFramePr>
        <xdr:cNvPr id="51" name="Chart 50">
          <a:extLst>
            <a:ext uri="{FF2B5EF4-FFF2-40B4-BE49-F238E27FC236}">
              <a16:creationId xmlns:a16="http://schemas.microsoft.com/office/drawing/2014/main" id="{17DB204F-6BEE-4FA8-8650-26E4E362D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33</xdr:col>
      <xdr:colOff>57150</xdr:colOff>
      <xdr:row>73</xdr:row>
      <xdr:rowOff>38100</xdr:rowOff>
    </xdr:from>
    <xdr:to>
      <xdr:col>47</xdr:col>
      <xdr:colOff>215000</xdr:colOff>
      <xdr:row>84</xdr:row>
      <xdr:rowOff>225000</xdr:rowOff>
    </xdr:to>
    <xdr:graphicFrame macro="">
      <xdr:nvGraphicFramePr>
        <xdr:cNvPr id="54" name="Chart 53">
          <a:extLst>
            <a:ext uri="{FF2B5EF4-FFF2-40B4-BE49-F238E27FC236}">
              <a16:creationId xmlns:a16="http://schemas.microsoft.com/office/drawing/2014/main" id="{161EC8AB-8A03-4DBA-83D8-C09AFBFBB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11</xdr:col>
      <xdr:colOff>57150</xdr:colOff>
      <xdr:row>7</xdr:row>
      <xdr:rowOff>38100</xdr:rowOff>
    </xdr:from>
    <xdr:to>
      <xdr:col>18</xdr:col>
      <xdr:colOff>215000</xdr:colOff>
      <xdr:row>13</xdr:row>
      <xdr:rowOff>225000</xdr:rowOff>
    </xdr:to>
    <mc:AlternateContent xmlns:mc="http://schemas.openxmlformats.org/markup-compatibility/2006">
      <mc:Choice xmlns:a14="http://schemas.microsoft.com/office/drawing/2010/main" Requires="a14">
        <xdr:graphicFrame macro="">
          <xdr:nvGraphicFramePr>
            <xdr:cNvPr id="58" name="Outlet Location Type 1">
              <a:extLst>
                <a:ext uri="{FF2B5EF4-FFF2-40B4-BE49-F238E27FC236}">
                  <a16:creationId xmlns:a16="http://schemas.microsoft.com/office/drawing/2014/main" id="{480ACE83-AD86-4BE8-B8F1-03D457BFD5B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968375" y="2563813"/>
              <a:ext cx="1643064"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57150</xdr:colOff>
      <xdr:row>7</xdr:row>
      <xdr:rowOff>38100</xdr:rowOff>
    </xdr:from>
    <xdr:to>
      <xdr:col>46</xdr:col>
      <xdr:colOff>215000</xdr:colOff>
      <xdr:row>13</xdr:row>
      <xdr:rowOff>225000</xdr:rowOff>
    </xdr:to>
    <mc:AlternateContent xmlns:mc="http://schemas.openxmlformats.org/markup-compatibility/2006">
      <mc:Choice xmlns:a14="http://schemas.microsoft.com/office/drawing/2010/main" Requires="a14">
        <xdr:graphicFrame macro="">
          <xdr:nvGraphicFramePr>
            <xdr:cNvPr id="59" name="Item Type 1">
              <a:extLst>
                <a:ext uri="{FF2B5EF4-FFF2-40B4-BE49-F238E27FC236}">
                  <a16:creationId xmlns:a16="http://schemas.microsoft.com/office/drawing/2014/main" id="{FBFFEB0A-5220-43FD-A909-AED4804E41E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984251" y="3881439"/>
              <a:ext cx="1666874" cy="1801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88</xdr:row>
      <xdr:rowOff>25400</xdr:rowOff>
    </xdr:from>
    <xdr:to>
      <xdr:col>1</xdr:col>
      <xdr:colOff>240000</xdr:colOff>
      <xdr:row>88</xdr:row>
      <xdr:rowOff>265400</xdr:rowOff>
    </xdr:to>
    <xdr:pic>
      <xdr:nvPicPr>
        <xdr:cNvPr id="26" name="Picture 25">
          <a:hlinkClick xmlns:r="http://schemas.openxmlformats.org/officeDocument/2006/relationships" r:id="rId15"/>
          <a:extLst>
            <a:ext uri="{FF2B5EF4-FFF2-40B4-BE49-F238E27FC236}">
              <a16:creationId xmlns:a16="http://schemas.microsoft.com/office/drawing/2014/main" id="{40FC5993-628B-4241-8787-97989FFD89B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860686" y="5834063"/>
          <a:ext cx="404812" cy="404812"/>
        </a:xfrm>
        <a:prstGeom prst="rect">
          <a:avLst/>
        </a:prstGeom>
      </xdr:spPr>
    </xdr:pic>
    <xdr:clientData/>
  </xdr:twoCellAnchor>
  <xdr:twoCellAnchor editAs="oneCell">
    <xdr:from>
      <xdr:col>1</xdr:col>
      <xdr:colOff>0</xdr:colOff>
      <xdr:row>87</xdr:row>
      <xdr:rowOff>25400</xdr:rowOff>
    </xdr:from>
    <xdr:to>
      <xdr:col>1</xdr:col>
      <xdr:colOff>240000</xdr:colOff>
      <xdr:row>87</xdr:row>
      <xdr:rowOff>265400</xdr:rowOff>
    </xdr:to>
    <xdr:pic>
      <xdr:nvPicPr>
        <xdr:cNvPr id="29" name="Picture 28">
          <a:hlinkClick xmlns:r="http://schemas.openxmlformats.org/officeDocument/2006/relationships" r:id="rId17"/>
          <a:extLst>
            <a:ext uri="{FF2B5EF4-FFF2-40B4-BE49-F238E27FC236}">
              <a16:creationId xmlns:a16="http://schemas.microsoft.com/office/drawing/2014/main" id="{8C46A1F9-EE7E-4479-80A5-95B5BD6F0B25}"/>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785002" y="5685315"/>
          <a:ext cx="580248" cy="5802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5977.508724305553" createdVersion="7" refreshedVersion="7" minRefreshableVersion="3" recordCount="8523" xr:uid="{37F5131A-53D8-4292-937D-CF5DCE605481}">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8234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1E1875-E799-4C01-909C-1398CFA2EE6B}" name="PivotTable1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0">
  <location ref="A103:B10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5"/>
  </dataFields>
  <formats count="12">
    <format dxfId="871">
      <pivotArea type="all" dataOnly="0" outline="0" fieldPosition="0"/>
    </format>
    <format dxfId="872">
      <pivotArea dataOnly="0" labelOnly="1" grandRow="1" outline="0" fieldPosition="0"/>
    </format>
    <format dxfId="873">
      <pivotArea outline="0" fieldPosition="0">
        <references count="1">
          <reference field="4294967294" count="1">
            <x v="0"/>
          </reference>
        </references>
      </pivotArea>
    </format>
    <format dxfId="874">
      <pivotArea type="all" dataOnly="0" outline="0" fieldPosition="0"/>
    </format>
    <format dxfId="875">
      <pivotArea outline="0" collapsedLevelsAreSubtotals="1" fieldPosition="0"/>
    </format>
    <format dxfId="876">
      <pivotArea field="6" type="button" dataOnly="0" labelOnly="1" outline="0"/>
    </format>
    <format dxfId="877">
      <pivotArea outline="0" collapsedLevelsAreSubtotals="1" fieldPosition="0"/>
    </format>
    <format dxfId="856">
      <pivotArea type="all" dataOnly="0" outline="0" fieldPosition="0"/>
    </format>
    <format dxfId="855">
      <pivotArea outline="0" collapsedLevelsAreSubtotals="1" fieldPosition="0"/>
    </format>
    <format dxfId="854">
      <pivotArea field="8" type="button" dataOnly="0" labelOnly="1" outline="0" axis="axisRow" fieldPosition="0"/>
    </format>
    <format dxfId="852">
      <pivotArea dataOnly="0" labelOnly="1" fieldPosition="0">
        <references count="1">
          <reference field="8" count="0"/>
        </references>
      </pivotArea>
    </format>
    <format dxfId="851">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DB502-AA22-40BB-9978-ECED866C1F3B}" name="PivotTable10"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5">
  <location ref="A112:B116"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1">
    <format dxfId="901">
      <pivotArea type="all" dataOnly="0" outline="0" fieldPosition="0"/>
    </format>
    <format dxfId="902">
      <pivotArea dataOnly="0" labelOnly="1" grandRow="1" outline="0" fieldPosition="0"/>
    </format>
    <format dxfId="903">
      <pivotArea type="all" dataOnly="0" outline="0" fieldPosition="0"/>
    </format>
    <format dxfId="904">
      <pivotArea outline="0" collapsedLevelsAreSubtotals="1" fieldPosition="0"/>
    </format>
    <format dxfId="905">
      <pivotArea field="6" type="button" dataOnly="0" labelOnly="1" outline="0"/>
    </format>
    <format dxfId="879">
      <pivotArea outline="0" collapsedLevelsAreSubtotals="1" fieldPosition="0"/>
    </format>
    <format dxfId="849">
      <pivotArea type="all" dataOnly="0" outline="0" fieldPosition="0"/>
    </format>
    <format dxfId="848">
      <pivotArea outline="0" collapsedLevelsAreSubtotals="1" fieldPosition="0"/>
    </format>
    <format dxfId="847">
      <pivotArea field="8" type="button" dataOnly="0" labelOnly="1" outline="0" axis="axisRow" fieldPosition="0"/>
    </format>
    <format dxfId="845">
      <pivotArea dataOnly="0" labelOnly="1" fieldPosition="0">
        <references count="1">
          <reference field="8" count="0"/>
        </references>
      </pivotArea>
    </format>
    <format dxfId="844">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BDACE5-DEBB-445E-9362-714DB38E7908}" name="PivotTable5"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6">
  <location ref="A95:B9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1" numFmtId="167"/>
  </dataFields>
  <formats count="8">
    <format dxfId="914">
      <pivotArea type="all" dataOnly="0" outline="0" fieldPosition="0"/>
    </format>
    <format dxfId="915">
      <pivotArea dataOnly="0" labelOnly="1" grandRow="1" outline="0" fieldPosition="0"/>
    </format>
    <format dxfId="916">
      <pivotArea outline="0" fieldPosition="0">
        <references count="1">
          <reference field="4294967294" count="1">
            <x v="0"/>
          </reference>
        </references>
      </pivotArea>
    </format>
    <format dxfId="842">
      <pivotArea type="all" dataOnly="0" outline="0" fieldPosition="0"/>
    </format>
    <format dxfId="837">
      <pivotArea outline="0" collapsedLevelsAreSubtotals="1" fieldPosition="0"/>
    </format>
    <format dxfId="836">
      <pivotArea field="8" type="button" dataOnly="0" labelOnly="1" outline="0" axis="axisRow" fieldPosition="0"/>
    </format>
    <format dxfId="835">
      <pivotArea dataOnly="0" labelOnly="1" fieldPosition="0">
        <references count="1">
          <reference field="8" count="0"/>
        </references>
      </pivotArea>
    </format>
    <format dxfId="83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9EB9DF-5104-4F23-877C-C5872C0F7BC1}" name="PivotTable3"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4">
  <location ref="A36:B52"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1" numFmtId="167"/>
  </dataFields>
  <formats count="8">
    <format dxfId="929">
      <pivotArea type="all" dataOnly="0" outline="0" fieldPosition="0"/>
    </format>
    <format dxfId="928">
      <pivotArea dataOnly="0" labelOnly="1" grandRow="1" outline="0" fieldPosition="0"/>
    </format>
    <format dxfId="927">
      <pivotArea outline="0" fieldPosition="0">
        <references count="1">
          <reference field="4294967294" count="1">
            <x v="0"/>
          </reference>
        </references>
      </pivotArea>
    </format>
    <format dxfId="926">
      <pivotArea type="all" dataOnly="0" outline="0" fieldPosition="0"/>
    </format>
    <format dxfId="925">
      <pivotArea outline="0" collapsedLevelsAreSubtotals="1" fieldPosition="0"/>
    </format>
    <format dxfId="924">
      <pivotArea field="3" type="button" dataOnly="0" labelOnly="1" outline="0" axis="axisRow" fieldPosition="0"/>
    </format>
    <format dxfId="923">
      <pivotArea dataOnly="0" labelOnly="1" fieldPosition="0">
        <references count="1">
          <reference field="3" count="0"/>
        </references>
      </pivotArea>
    </format>
    <format dxfId="92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4EF42C-8065-4301-BB66-DF07D0B702AB}" name="PivotTable2"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1" numFmtId="167"/>
  </dataFields>
  <formats count="7">
    <format dxfId="936">
      <pivotArea type="all" dataOnly="0" outline="0" fieldPosition="0"/>
    </format>
    <format dxfId="935">
      <pivotArea outline="0" collapsedLevelsAreSubtotals="1" fieldPosition="0"/>
    </format>
    <format dxfId="934">
      <pivotArea field="0" type="button" dataOnly="0" labelOnly="1" outline="0" axis="axisRow" fieldPosition="0"/>
    </format>
    <format dxfId="933">
      <pivotArea dataOnly="0" labelOnly="1" fieldPosition="0">
        <references count="1">
          <reference field="0" count="0"/>
        </references>
      </pivotArea>
    </format>
    <format dxfId="932">
      <pivotArea dataOnly="0" labelOnly="1" grandRow="1" outline="0" fieldPosition="0"/>
    </format>
    <format dxfId="931">
      <pivotArea dataOnly="0" labelOnly="1" outline="0" axis="axisValues" fieldPosition="0"/>
    </format>
    <format dxfId="930">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1A2CE1-8CB3-41EE-840C-F7EE08628D8F}"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D5"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numFmtId="4"/>
    <dataField name="Average Sales" fld="11" subtotal="average" baseField="0" baseItem="0" numFmtId="4"/>
    <dataField name="Number of Items" fld="1" subtotal="count" baseField="0" baseItem="2" numFmtId="3"/>
    <dataField name="Average of Rating" fld="12" subtotal="average" baseField="0" baseItem="2" numFmtId="2"/>
  </dataFields>
  <formats count="3">
    <format dxfId="939">
      <pivotArea type="all" dataOnly="0" outline="0" fieldPosition="0"/>
    </format>
    <format dxfId="938">
      <pivotArea outline="0" collapsedLevelsAreSubtotals="1" fieldPosition="0"/>
    </format>
    <format dxfId="93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A912F5-8A55-47D3-AE0E-01360C54C2B7}" name="PivotTable9"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2">
  <location ref="A84:B8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1" numFmtId="167"/>
  </dataFields>
  <formats count="8">
    <format dxfId="942">
      <pivotArea type="all" dataOnly="0" outline="0" fieldPosition="0"/>
    </format>
    <format dxfId="941">
      <pivotArea dataOnly="0" labelOnly="1" grandRow="1" outline="0" fieldPosition="0"/>
    </format>
    <format dxfId="940">
      <pivotArea outline="0" fieldPosition="0">
        <references count="1">
          <reference field="4294967294" count="1">
            <x v="0"/>
          </reference>
        </references>
      </pivotArea>
    </format>
    <format dxfId="921">
      <pivotArea type="all" dataOnly="0" outline="0" fieldPosition="0"/>
    </format>
    <format dxfId="920">
      <pivotArea outline="0" collapsedLevelsAreSubtotals="1" fieldPosition="0"/>
    </format>
    <format dxfId="919">
      <pivotArea field="6" type="button" dataOnly="0" labelOnly="1" outline="0" axis="axisRow" fieldPosition="0"/>
    </format>
    <format dxfId="918">
      <pivotArea dataOnly="0" labelOnly="1" fieldPosition="0">
        <references count="1">
          <reference field="6" count="0"/>
        </references>
      </pivotArea>
    </format>
    <format dxfId="917">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028517-6527-4315-B209-28943A811136}" name="PivotTable7"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2">
  <location ref="A72:B7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1" numFmtId="167"/>
  </dataFields>
  <formats count="8">
    <format dxfId="950">
      <pivotArea type="all" dataOnly="0" outline="0" fieldPosition="0"/>
    </format>
    <format dxfId="949">
      <pivotArea dataOnly="0" labelOnly="1" grandRow="1" outline="0" fieldPosition="0"/>
    </format>
    <format dxfId="948">
      <pivotArea outline="0" fieldPosition="0">
        <references count="1">
          <reference field="4294967294" count="1">
            <x v="0"/>
          </reference>
        </references>
      </pivotArea>
    </format>
    <format dxfId="947">
      <pivotArea type="all" dataOnly="0" outline="0" fieldPosition="0"/>
    </format>
    <format dxfId="946">
      <pivotArea outline="0" collapsedLevelsAreSubtotals="1" fieldPosition="0"/>
    </format>
    <format dxfId="945">
      <pivotArea field="7" type="button" dataOnly="0" labelOnly="1" outline="0" axis="axisRow" fieldPosition="0"/>
    </format>
    <format dxfId="944">
      <pivotArea dataOnly="0" labelOnly="1" fieldPosition="0">
        <references count="1">
          <reference field="7" count="0"/>
        </references>
      </pivotArea>
    </format>
    <format dxfId="943">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41A916-15D5-4E85-BABF-9B984ED64D8C}" name="PivotTable4"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1" numFmtId="167"/>
  </dataFields>
  <formats count="12">
    <format dxfId="962">
      <pivotArea type="all" dataOnly="0" outline="0" fieldPosition="0"/>
    </format>
    <format dxfId="961">
      <pivotArea dataOnly="0" labelOnly="1" grandRow="1" outline="0" fieldPosition="0"/>
    </format>
    <format dxfId="960">
      <pivotArea dataOnly="0" labelOnly="1" outline="0" axis="axisValues" fieldPosition="0"/>
    </format>
    <format dxfId="959">
      <pivotArea outline="0" fieldPosition="0">
        <references count="1">
          <reference field="4294967294" count="1">
            <x v="0"/>
          </reference>
        </references>
      </pivotArea>
    </format>
    <format dxfId="958">
      <pivotArea type="all" dataOnly="0" outline="0" fieldPosition="0"/>
    </format>
    <format dxfId="957">
      <pivotArea outline="0" collapsedLevelsAreSubtotals="1" fieldPosition="0"/>
    </format>
    <format dxfId="956">
      <pivotArea type="origin" dataOnly="0" labelOnly="1" outline="0" fieldPosition="0"/>
    </format>
    <format dxfId="955">
      <pivotArea field="0" type="button" dataOnly="0" labelOnly="1" outline="0" axis="axisCol" fieldPosition="0"/>
    </format>
    <format dxfId="954">
      <pivotArea type="topRight" dataOnly="0" labelOnly="1" outline="0" fieldPosition="0"/>
    </format>
    <format dxfId="953">
      <pivotArea field="6" type="button" dataOnly="0" labelOnly="1" outline="0" axis="axisRow" fieldPosition="0"/>
    </format>
    <format dxfId="952">
      <pivotArea dataOnly="0" labelOnly="1" fieldPosition="0">
        <references count="1">
          <reference field="6" count="0"/>
        </references>
      </pivotArea>
    </format>
    <format dxfId="951">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D04F1D-9850-4970-97AA-8498A620D403}" name="PivotTable6"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8">
  <location ref="A57:B6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1" numFmtId="167"/>
  </dataFields>
  <formats count="8">
    <format dxfId="970">
      <pivotArea type="all" dataOnly="0" outline="0" fieldPosition="0"/>
    </format>
    <format dxfId="969">
      <pivotArea dataOnly="0" labelOnly="1" grandRow="1" outline="0" fieldPosition="0"/>
    </format>
    <format dxfId="968">
      <pivotArea outline="0" fieldPosition="0">
        <references count="1">
          <reference field="4294967294" count="1">
            <x v="0"/>
          </reference>
        </references>
      </pivotArea>
    </format>
    <format dxfId="967">
      <pivotArea type="all" dataOnly="0" outline="0" fieldPosition="0"/>
    </format>
    <format dxfId="966">
      <pivotArea outline="0" collapsedLevelsAreSubtotals="1" fieldPosition="0"/>
    </format>
    <format dxfId="965">
      <pivotArea field="4" type="button" dataOnly="0" labelOnly="1" outline="0" axis="axisRow" fieldPosition="0"/>
    </format>
    <format dxfId="964">
      <pivotArea dataOnly="0" labelOnly="1" fieldPosition="0">
        <references count="1">
          <reference field="4" count="0"/>
        </references>
      </pivotArea>
    </format>
    <format dxfId="96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0"/>
          </reference>
        </references>
      </pivotArea>
    </chartFormat>
    <chartFormat chart="17" format="4">
      <pivotArea type="data" outline="0" fieldPosition="0">
        <references count="2">
          <reference field="4294967294" count="1" selected="0">
            <x v="0"/>
          </reference>
          <reference field="4" count="1" selected="0">
            <x v="1"/>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667395C-211A-43DB-8A81-58AF5B0E33C9}" sourceName="Outlet Size">
  <pivotTables>
    <pivotTable tabId="2" name="PivotTable1"/>
    <pivotTable tabId="2" name="PivotTable2"/>
    <pivotTable tabId="2" name="PivotTable4"/>
    <pivotTable tabId="2" name="PivotTable3"/>
    <pivotTable tabId="2" name="PivotTable6"/>
    <pivotTable tabId="2" name="PivotTable7"/>
    <pivotTable tabId="2" name="PivotTable9"/>
    <pivotTable tabId="2" name="PivotTable5"/>
    <pivotTable tabId="2" name="PivotTable10"/>
    <pivotTable tabId="2" name="PivotTable11"/>
  </pivotTables>
  <data>
    <tabular pivotCacheId="19823403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5C64A37-41C0-4A0D-B76B-833DF5CF2409}" sourceName="Item Type">
  <pivotTables>
    <pivotTable tabId="2" name="PivotTable10"/>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9"/>
  </pivotTables>
  <data>
    <tabular pivotCacheId="198234030">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224B3F8-9969-45CC-A98A-0673AA78A18E}" sourceName="Outlet Location Type">
  <pivotTables>
    <pivotTable tabId="2" name="PivotTable10"/>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9"/>
  </pivotTables>
  <data>
    <tabular pivotCacheId="1982340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9B26060-DDAA-4236-BA35-738E4FF272F3}" cache="Slicer_Outlet_Size" caption="Outlet Size" rowHeight="262466"/>
  <slicer name="Item Type" xr10:uid="{4A10E5CC-1FB5-41A1-8DC0-F17ADF3007F9}" cache="Slicer_Item_Type" caption="Item Type" rowHeight="262466"/>
  <slicer name="Outlet Location Type" xr10:uid="{6AE90961-8719-4E44-9D53-6D0BAC6BC788}" cache="Slicer_Outlet_Location_Type" caption="Outlet Location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9B02FB4-E195-43BE-B2A7-ABDC5D0AFA80}" cache="Slicer_Outlet_Size" caption="Outlet Size" style="Blinkit Analysis" rowHeight="262466"/>
  <slicer name="Item Type 1" xr10:uid="{06435278-46F6-49DD-9A9F-EDAEFF8CA29E}" cache="Slicer_Item_Type" caption="Item Type" columnCount="4" style="Blinkit Analysis" rowHeight="262466"/>
  <slicer name="Outlet Location Type 1" xr10:uid="{D67F6086-3B0F-4DB7-8B69-49D993747333}" cache="Slicer_Outlet_Location_Type" caption="Outlet Location"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C53D09B4-FF1E-4EE7-8DDF-45DEAB3D82B8}"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625BEE"/>
      </a:accent1>
      <a:accent2>
        <a:srgbClr val="8F8AF3"/>
      </a:accent2>
      <a:accent3>
        <a:srgbClr val="B5B1F7"/>
      </a:accent3>
      <a:accent4>
        <a:srgbClr val="A5A1F5"/>
      </a:accent4>
      <a:accent5>
        <a:srgbClr val="737990"/>
      </a:accent5>
      <a:accent6>
        <a:srgbClr val="C4C1FA"/>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0D70C-1375-4E7D-864E-D2233DF30558}">
  <dimension ref="A1:I119"/>
  <sheetViews>
    <sheetView workbookViewId="0"/>
  </sheetViews>
  <sheetFormatPr defaultRowHeight="15.5" x14ac:dyDescent="0.35"/>
  <cols>
    <col min="1" max="1" width="30" customWidth="1"/>
    <col min="2" max="2" width="20" customWidth="1"/>
    <col min="3" max="3" width="19" customWidth="1"/>
    <col min="4" max="4" width="21" customWidth="1"/>
    <col min="5" max="5" width="15" customWidth="1"/>
  </cols>
  <sheetData>
    <row r="1" ht="26" customHeight="1">
      <c r="A1" s="90" t="inlineStr">
        <is>
          <t>Dashboard Analysis: Supporting Data</t>
        </is>
      </c>
    </row>
    <row r="2" ht="15.5" customHeight="1" thickBot="1" x14ac:dyDescent="0.4">
      <c r="A2" s="91" t="inlineStr">
        <is>
          <t>PivotTables, KPI table and chart source ranges that feed the Dashboard sheet. Do not delete or overwrite PivotTable output.</t>
        </is>
      </c>
      <c r="B2" s="94"/>
      <c r="C2" s="94"/>
      <c r="D2" s="94"/>
      <c r="E2" s="94"/>
      <c r="F2" s="94"/>
    </row>
    <row r="3" ht="15.5" customHeight="1" thickBot="1" x14ac:dyDescent="0.4">
      <c r="A3" t="s" s="92">
        <v>1619</v>
      </c>
      <c r="B3" s="93"/>
      <c r="C3" s="93"/>
      <c r="D3" s="93"/>
      <c r="E3" s="7"/>
      <c r="F3" s="1"/>
    </row>
    <row r="4" ht="16" thickBot="1" x14ac:dyDescent="0.4">
      <c r="A4" t="s" s="95">
        <v>1611</v>
      </c>
      <c r="B4" t="s" s="95">
        <v>1610</v>
      </c>
      <c r="C4" t="s" s="95">
        <v>1613</v>
      </c>
      <c r="D4" t="s" s="95">
        <v>1614</v>
      </c>
      <c r="E4" s="1"/>
      <c r="F4" s="1"/>
    </row>
    <row r="5" ht="16" thickBot="1" x14ac:dyDescent="0.4">
      <c r="A5" s="96">
        <v>1201681.4928000034</v>
      </c>
      <c r="B5" s="96">
        <v>140.99278338613203</v>
      </c>
      <c r="C5" s="97">
        <v>8523</v>
      </c>
      <c r="D5" s="98">
        <v>3.9658570925731196</v>
      </c>
      <c r="E5" s="1"/>
      <c r="F5" s="1"/>
    </row>
    <row r="6" x14ac:dyDescent="0.35">
      <c r="A6" s="3"/>
      <c r="B6" s="1"/>
      <c r="C6" s="1"/>
      <c r="D6" s="2"/>
      <c r="E6" s="1"/>
      <c r="F6" s="1"/>
    </row>
    <row r="7" x14ac:dyDescent="0.35">
      <c r="A7" t="s" s="95">
        <v>1615</v>
      </c>
      <c r="B7" t="s" s="95">
        <v>1616</v>
      </c>
      <c r="C7" t="s" s="95">
        <v>1617</v>
      </c>
      <c r="D7" t="s" s="95">
        <v>1618</v>
      </c>
      <c r="E7" s="1"/>
      <c r="F7" s="1"/>
    </row>
    <row r="8" ht="16" thickBot="1" x14ac:dyDescent="0.4">
      <c r="A8" s="96">
        <f>A5</f>
        <v>1201681.4928000034</v>
      </c>
      <c r="B8" s="96">
        <f>B5</f>
        <v>140.99278338613203</v>
      </c>
      <c r="C8" s="97">
        <f>C5</f>
        <v>8523</v>
      </c>
      <c r="D8" s="98">
        <f>D5</f>
        <v>3.9658570925731196</v>
      </c>
      <c r="E8" s="1"/>
      <c r="F8" s="1"/>
    </row>
    <row r="9" ht="16" thickBot="1" x14ac:dyDescent="0.4">
      <c r="A9" s="1"/>
      <c r="B9" s="1"/>
      <c r="C9" s="1"/>
      <c r="D9" s="1"/>
      <c r="E9" s="1"/>
      <c r="F9" s="1"/>
    </row>
    <row r="10" ht="16" thickBot="1" x14ac:dyDescent="0.4">
      <c r="A10" t="s" s="92">
        <v>1622</v>
      </c>
      <c r="B10" s="93"/>
      <c r="C10" s="93"/>
      <c r="D10" s="93"/>
      <c r="E10" s="1"/>
      <c r="F10" s="1"/>
    </row>
    <row r="11" ht="16" thickBot="1" x14ac:dyDescent="0.4">
      <c r="A11" t="s" s="99">
        <v>1620</v>
      </c>
      <c r="B11" t="s" s="100">
        <v>1621</v>
      </c>
      <c r="C11" s="1"/>
      <c r="D11" s="2"/>
      <c r="E11" s="1"/>
      <c r="F11" s="1"/>
    </row>
    <row r="12" x14ac:dyDescent="0.35">
      <c r="A12" t="s" s="101">
        <v>17</v>
      </c>
      <c r="B12" s="102">
        <v>776319.68840000057</v>
      </c>
      <c r="C12" s="1"/>
      <c r="D12" s="2"/>
    </row>
    <row r="13" ht="16" thickBot="1" x14ac:dyDescent="0.4">
      <c r="A13" t="s" s="101">
        <v>10</v>
      </c>
      <c r="B13" s="102">
        <v>425361.8043999995</v>
      </c>
      <c r="C13" s="1"/>
      <c r="D13" s="2"/>
    </row>
    <row r="14" x14ac:dyDescent="0.35">
      <c r="C14" s="1"/>
      <c r="D14" s="2"/>
    </row>
    <row r="15" x14ac:dyDescent="0.35">
      <c r="A15" s="3"/>
      <c r="B15" s="1"/>
      <c r="C15" s="1"/>
      <c r="D15" s="2"/>
    </row>
    <row r="16" x14ac:dyDescent="0.35">
      <c r="A16" s="3"/>
      <c r="B16" s="1"/>
      <c r="C16" s="1"/>
      <c r="D16" s="2"/>
    </row>
    <row r="17" x14ac:dyDescent="0.35">
      <c r="A17" s="3"/>
      <c r="B17" s="1"/>
      <c r="C17" s="1"/>
      <c r="D17" s="2"/>
    </row>
    <row r="18" ht="16" thickBot="1" x14ac:dyDescent="0.4">
      <c r="A18" s="18"/>
      <c r="B18" s="4"/>
      <c r="C18" s="4"/>
      <c r="D18" s="19"/>
    </row>
    <row r="20" ht="16" thickBot="1" x14ac:dyDescent="0.4"/>
    <row r="21" ht="16" thickBot="1" x14ac:dyDescent="0.4">
      <c r="A21" s="92" t="inlineStr">
        <is>
          <t>Total Sales by Outlet Location Type and Fat Content</t>
        </is>
      </c>
      <c r="B21" s="93"/>
      <c r="C21" s="93"/>
      <c r="D21" s="93"/>
      <c r="E21" s="15"/>
      <c r="F21" s="15"/>
      <c r="G21" s="16"/>
    </row>
    <row r="22" ht="16" thickBot="1" x14ac:dyDescent="0.4">
      <c r="A22" t="s" s="99">
        <v>1621</v>
      </c>
      <c r="B22" t="s" s="100">
        <v>1624</v>
      </c>
      <c r="C22" s="100"/>
      <c r="D22" s="1"/>
      <c r="E22" s="1"/>
      <c r="F22" s="1"/>
      <c r="G22" s="2"/>
    </row>
    <row r="23" ht="16" thickBot="1" x14ac:dyDescent="0.4">
      <c r="A23" t="s" s="99">
        <v>1620</v>
      </c>
      <c r="B23" t="s" s="100">
        <v>10</v>
      </c>
      <c r="C23" t="s" s="100">
        <v>17</v>
      </c>
      <c r="D23" s="1"/>
      <c r="E23" s="1"/>
      <c r="F23" s="1"/>
      <c r="G23" s="2"/>
    </row>
    <row r="24" x14ac:dyDescent="0.35">
      <c r="A24" t="s" s="101">
        <v>14</v>
      </c>
      <c r="B24" s="102">
        <v>121349.89940000001</v>
      </c>
      <c r="C24" s="102">
        <v>215047.9126000001</v>
      </c>
      <c r="D24" s="1"/>
      <c r="E24" s="1"/>
      <c r="F24" s="1"/>
      <c r="G24" s="2"/>
    </row>
    <row r="25" x14ac:dyDescent="0.35">
      <c r="A25" t="s" s="101">
        <v>34</v>
      </c>
      <c r="B25" s="102">
        <v>138685.86819999994</v>
      </c>
      <c r="C25" s="102">
        <v>254464.77940000014</v>
      </c>
      <c r="D25" s="1"/>
      <c r="E25" s="1"/>
      <c r="F25" s="1"/>
      <c r="G25" s="2"/>
    </row>
    <row r="26" ht="16" thickBot="1" x14ac:dyDescent="0.4">
      <c r="A26" t="s" s="101">
        <v>21</v>
      </c>
      <c r="B26" s="102">
        <v>165326.0368</v>
      </c>
      <c r="C26" s="102">
        <v>306806.99640000012</v>
      </c>
      <c r="D26" s="1"/>
      <c r="E26" s="1"/>
      <c r="F26" s="1"/>
      <c r="G26" s="2"/>
    </row>
    <row r="27" x14ac:dyDescent="0.35">
      <c r="A27" s="3"/>
      <c r="B27" s="1"/>
      <c r="C27" s="1"/>
      <c r="D27" s="1"/>
      <c r="E27" s="1"/>
      <c r="F27" s="1"/>
      <c r="G27" s="2"/>
    </row>
    <row r="28" x14ac:dyDescent="0.35">
      <c r="A28" s="3"/>
      <c r="B28" s="1"/>
      <c r="C28" s="1"/>
      <c r="D28" s="1"/>
      <c r="E28" s="1"/>
      <c r="F28" s="1"/>
      <c r="G28" s="2"/>
    </row>
    <row r="29" x14ac:dyDescent="0.35">
      <c r="A29" s="3"/>
      <c r="B29" s="1"/>
      <c r="C29" s="1"/>
      <c r="D29" s="1"/>
      <c r="E29" s="1"/>
      <c r="F29" s="1"/>
      <c r="G29" s="2"/>
    </row>
    <row r="30" x14ac:dyDescent="0.35">
      <c r="A30" s="3"/>
      <c r="B30" s="1"/>
      <c r="C30" s="1"/>
      <c r="D30" s="1"/>
      <c r="E30" s="1"/>
      <c r="F30" s="1"/>
      <c r="G30" s="2"/>
    </row>
    <row r="31" x14ac:dyDescent="0.35">
      <c r="A31" s="3"/>
      <c r="B31" s="1"/>
      <c r="C31" s="1"/>
      <c r="D31" s="1"/>
      <c r="E31" s="1"/>
      <c r="F31" s="1"/>
      <c r="G31" s="2"/>
    </row>
    <row r="32" ht="16" thickBot="1" x14ac:dyDescent="0.4">
      <c r="A32" s="18"/>
      <c r="B32" s="4"/>
      <c r="C32" s="4"/>
      <c r="D32" s="4"/>
      <c r="E32" s="4"/>
      <c r="F32" s="4"/>
      <c r="G32" s="19"/>
    </row>
    <row r="34" ht="16" thickBot="1" x14ac:dyDescent="0.4"/>
    <row r="35" ht="16" thickBot="1" x14ac:dyDescent="0.4">
      <c r="A35" t="s" s="92">
        <v>1623</v>
      </c>
      <c r="B35" s="93"/>
      <c r="C35" s="93"/>
      <c r="D35" s="93"/>
      <c r="E35" s="93"/>
      <c r="F35" s="93"/>
      <c r="G35" s="93"/>
      <c r="H35" s="93"/>
    </row>
    <row r="36" ht="16" thickBot="1" x14ac:dyDescent="0.4">
      <c r="A36" t="s" s="99">
        <v>1620</v>
      </c>
      <c r="B36" t="s" s="100">
        <v>1621</v>
      </c>
      <c r="C36" s="1"/>
      <c r="D36" s="1"/>
      <c r="E36" s="1"/>
      <c r="F36" s="1"/>
      <c r="G36" s="1"/>
      <c r="H36" s="2"/>
    </row>
    <row r="37" x14ac:dyDescent="0.35">
      <c r="A37" t="s" s="101">
        <v>153</v>
      </c>
      <c r="B37" s="102">
        <v>9077.869999999999</v>
      </c>
      <c r="C37" s="1"/>
      <c r="D37" s="1"/>
      <c r="E37" s="1"/>
      <c r="F37" s="1"/>
      <c r="G37" s="1"/>
      <c r="H37" s="2"/>
    </row>
    <row r="38" x14ac:dyDescent="0.35">
      <c r="A38" t="s" s="101">
        <v>74</v>
      </c>
      <c r="B38" s="102">
        <v>15596.696600000001</v>
      </c>
      <c r="C38" s="1"/>
      <c r="D38" s="1"/>
      <c r="E38" s="1"/>
      <c r="F38" s="1"/>
      <c r="G38" s="1"/>
      <c r="H38" s="2"/>
    </row>
    <row r="39" x14ac:dyDescent="0.35">
      <c r="A39" t="s" s="101">
        <v>159</v>
      </c>
      <c r="B39" s="102">
        <v>21880.027399999992</v>
      </c>
      <c r="C39" s="1"/>
      <c r="D39" s="1"/>
      <c r="E39" s="1"/>
      <c r="F39" s="1"/>
      <c r="G39" s="1"/>
      <c r="H39" s="2"/>
    </row>
    <row r="40" x14ac:dyDescent="0.35">
      <c r="A40" t="s" s="101">
        <v>64</v>
      </c>
      <c r="B40" s="102">
        <v>22451.891599999999</v>
      </c>
      <c r="C40" s="1"/>
      <c r="D40" s="1"/>
      <c r="E40" s="1"/>
      <c r="F40" s="1"/>
      <c r="G40" s="1"/>
      <c r="H40" s="2"/>
    </row>
    <row r="41" x14ac:dyDescent="0.35">
      <c r="A41" t="s" s="101">
        <v>61</v>
      </c>
      <c r="B41" s="102">
        <v>29334.680599999996</v>
      </c>
      <c r="C41" s="1"/>
      <c r="D41" s="1"/>
      <c r="E41" s="1"/>
      <c r="F41" s="1"/>
      <c r="G41" s="1"/>
      <c r="H41" s="2"/>
    </row>
    <row r="42" x14ac:dyDescent="0.35">
      <c r="A42" t="s" s="101">
        <v>57</v>
      </c>
      <c r="B42" s="102">
        <v>35379.119800000015</v>
      </c>
      <c r="C42" s="1"/>
      <c r="D42" s="1"/>
      <c r="E42" s="1"/>
      <c r="F42" s="1"/>
      <c r="G42" s="1"/>
      <c r="H42" s="2"/>
    </row>
    <row r="43" x14ac:dyDescent="0.35">
      <c r="A43" t="s" s="101">
        <v>32</v>
      </c>
      <c r="B43" s="102">
        <v>58514.166999999987</v>
      </c>
      <c r="C43" s="1"/>
      <c r="D43" s="1"/>
      <c r="E43" s="1"/>
      <c r="F43" s="1"/>
      <c r="G43" s="1"/>
      <c r="H43" s="2"/>
    </row>
    <row r="44" x14ac:dyDescent="0.35">
      <c r="A44" t="s" s="101">
        <v>54</v>
      </c>
      <c r="B44" s="102">
        <v>59449.863799999992</v>
      </c>
      <c r="C44" s="1"/>
      <c r="D44" s="1"/>
      <c r="E44" s="1"/>
      <c r="F44" s="1"/>
      <c r="G44" s="1"/>
      <c r="H44" s="2"/>
    </row>
    <row r="45" x14ac:dyDescent="0.35">
      <c r="A45" t="s" s="101">
        <v>19</v>
      </c>
      <c r="B45" s="102">
        <v>68025.838800000012</v>
      </c>
      <c r="C45" s="1"/>
      <c r="D45" s="1"/>
      <c r="E45" s="1"/>
      <c r="F45" s="1"/>
      <c r="G45" s="1"/>
      <c r="H45" s="2"/>
    </row>
    <row r="46" x14ac:dyDescent="0.35">
      <c r="A46" t="s" s="101">
        <v>95</v>
      </c>
      <c r="B46" s="102">
        <v>81894.736400000009</v>
      </c>
      <c r="C46" s="1"/>
      <c r="D46" s="1"/>
      <c r="E46" s="1"/>
      <c r="F46" s="1"/>
      <c r="G46" s="1"/>
      <c r="H46" s="2"/>
    </row>
    <row r="47" x14ac:dyDescent="0.35">
      <c r="A47" t="s" s="101">
        <v>28</v>
      </c>
      <c r="B47" s="102">
        <v>90706.728999999992</v>
      </c>
      <c r="C47" s="1"/>
      <c r="D47" s="1"/>
      <c r="E47" s="1"/>
      <c r="F47" s="1"/>
      <c r="G47" s="1"/>
      <c r="H47" s="2"/>
    </row>
    <row r="48" x14ac:dyDescent="0.35">
      <c r="A48" t="s" s="101">
        <v>67</v>
      </c>
      <c r="B48" s="102">
        <v>101276.46159999995</v>
      </c>
      <c r="C48" s="1"/>
      <c r="D48" s="1"/>
      <c r="E48" s="1"/>
      <c r="F48" s="1"/>
      <c r="G48" s="1"/>
      <c r="H48" s="2"/>
    </row>
    <row r="49" x14ac:dyDescent="0.35">
      <c r="A49" t="s" s="101">
        <v>24</v>
      </c>
      <c r="B49" s="102">
        <v>118558.88140000009</v>
      </c>
      <c r="C49" s="1"/>
      <c r="D49" s="1"/>
      <c r="E49" s="1"/>
      <c r="F49" s="1"/>
      <c r="G49" s="1"/>
      <c r="H49" s="2"/>
    </row>
    <row r="50" x14ac:dyDescent="0.35">
      <c r="A50" t="s" s="101">
        <v>42</v>
      </c>
      <c r="B50" s="102">
        <v>135976.52539999998</v>
      </c>
      <c r="C50" s="1"/>
      <c r="D50" s="1"/>
      <c r="E50" s="1"/>
      <c r="F50" s="1"/>
      <c r="G50" s="1"/>
      <c r="H50" s="2"/>
    </row>
    <row r="51" x14ac:dyDescent="0.35">
      <c r="A51" t="s" s="101">
        <v>48</v>
      </c>
      <c r="B51" s="102">
        <v>175433.92240000021</v>
      </c>
      <c r="C51" s="1"/>
      <c r="D51" s="1"/>
      <c r="E51" s="1"/>
      <c r="F51" s="1"/>
      <c r="G51" s="1"/>
      <c r="H51" s="2"/>
    </row>
    <row r="52" ht="16" thickBot="1" x14ac:dyDescent="0.4">
      <c r="A52" t="s" s="101">
        <v>12</v>
      </c>
      <c r="B52" s="102">
        <v>178124.08099999995</v>
      </c>
      <c r="C52" s="1"/>
      <c r="D52" s="1"/>
      <c r="E52" s="1"/>
      <c r="F52" s="1"/>
      <c r="G52" s="1"/>
      <c r="H52" s="2"/>
    </row>
    <row r="53" ht="16" thickBot="1" x14ac:dyDescent="0.4">
      <c r="A53" s="18"/>
      <c r="B53" s="4"/>
      <c r="C53" s="4"/>
      <c r="D53" s="4"/>
      <c r="E53" s="4"/>
      <c r="F53" s="4"/>
      <c r="G53" s="4"/>
      <c r="H53" s="19"/>
    </row>
    <row r="55" ht="16" thickBot="1" x14ac:dyDescent="0.4"/>
    <row r="56" ht="16" thickBot="1" x14ac:dyDescent="0.4">
      <c r="A56" s="92" t="inlineStr">
        <is>
          <t>Total Sales by Outlet Establishment Year</t>
        </is>
      </c>
      <c r="B56" s="93"/>
      <c r="C56" s="93"/>
      <c r="D56" s="93"/>
      <c r="E56" s="93"/>
      <c r="F56" s="93"/>
      <c r="G56" s="93"/>
    </row>
    <row r="57" ht="16" thickBot="1" x14ac:dyDescent="0.4">
      <c r="A57" t="s" s="99">
        <v>1620</v>
      </c>
      <c r="B57" t="s" s="100">
        <v>1621</v>
      </c>
      <c r="C57" s="1"/>
      <c r="D57" s="1"/>
      <c r="E57" s="1"/>
      <c r="F57" s="1"/>
      <c r="G57" s="2"/>
    </row>
    <row r="58" x14ac:dyDescent="0.35">
      <c r="A58" s="101">
        <v>2011</v>
      </c>
      <c r="B58" s="102">
        <v>78131.566599999976</v>
      </c>
      <c r="C58" s="1"/>
      <c r="D58" s="1"/>
      <c r="E58" s="1"/>
      <c r="F58" s="1"/>
      <c r="G58" s="2"/>
    </row>
    <row r="59" x14ac:dyDescent="0.35">
      <c r="A59" s="101">
        <v>2012</v>
      </c>
      <c r="B59" s="102">
        <v>130476.85979999998</v>
      </c>
      <c r="C59" s="1"/>
      <c r="D59" s="1"/>
      <c r="E59" s="1"/>
      <c r="F59" s="1"/>
      <c r="G59" s="2"/>
    </row>
    <row r="60" x14ac:dyDescent="0.35">
      <c r="A60" s="101">
        <v>2014</v>
      </c>
      <c r="B60" s="102">
        <v>131809.01560000007</v>
      </c>
      <c r="C60" s="1"/>
      <c r="D60" s="1"/>
      <c r="E60" s="1"/>
      <c r="F60" s="1"/>
      <c r="G60" s="2"/>
    </row>
    <row r="61" x14ac:dyDescent="0.35">
      <c r="A61" s="101">
        <v>2015</v>
      </c>
      <c r="B61" s="102">
        <v>130942.78019999999</v>
      </c>
      <c r="C61" s="1"/>
      <c r="D61" s="1"/>
      <c r="E61" s="1"/>
      <c r="F61" s="1"/>
      <c r="G61" s="2"/>
    </row>
    <row r="62" x14ac:dyDescent="0.35">
      <c r="A62" s="101">
        <v>2016</v>
      </c>
      <c r="B62" s="102">
        <v>132113.36980000007</v>
      </c>
      <c r="C62" s="1"/>
      <c r="D62" s="1"/>
      <c r="E62" s="1"/>
      <c r="F62" s="1"/>
      <c r="G62" s="2"/>
    </row>
    <row r="63" x14ac:dyDescent="0.35">
      <c r="A63" s="101">
        <v>2017</v>
      </c>
      <c r="B63" s="102">
        <v>133103.90699999989</v>
      </c>
      <c r="C63" s="1"/>
      <c r="D63" s="1"/>
      <c r="E63" s="1"/>
      <c r="F63" s="1"/>
      <c r="G63" s="2"/>
    </row>
    <row r="64" x14ac:dyDescent="0.35">
      <c r="A64" s="101">
        <v>2018</v>
      </c>
      <c r="B64" s="102">
        <v>204522.25700000025</v>
      </c>
      <c r="C64" s="1"/>
      <c r="D64" s="1"/>
      <c r="E64" s="1"/>
      <c r="F64" s="1"/>
      <c r="G64" s="2"/>
    </row>
    <row r="65" x14ac:dyDescent="0.35">
      <c r="A65" s="101">
        <v>2020</v>
      </c>
      <c r="B65" s="102">
        <v>129103.96039999987</v>
      </c>
      <c r="C65" s="1"/>
      <c r="D65" s="1"/>
      <c r="E65" s="1"/>
      <c r="F65" s="1"/>
      <c r="G65" s="2"/>
    </row>
    <row r="66" ht="16" thickBot="1" x14ac:dyDescent="0.4">
      <c r="A66" s="101">
        <v>2022</v>
      </c>
      <c r="B66" s="102">
        <v>131477.77639999994</v>
      </c>
      <c r="C66" s="1"/>
      <c r="D66" s="1"/>
      <c r="E66" s="1"/>
      <c r="F66" s="1"/>
      <c r="G66" s="2"/>
    </row>
    <row r="67" ht="16" thickBot="1" x14ac:dyDescent="0.4">
      <c r="A67" s="18"/>
      <c r="B67" s="4"/>
      <c r="C67" s="4"/>
      <c r="D67" s="4"/>
      <c r="E67" s="4"/>
      <c r="F67" s="4"/>
      <c r="G67" s="19"/>
    </row>
    <row r="70" ht="16" thickBot="1" x14ac:dyDescent="0.4"/>
    <row r="71" ht="16" thickBot="1" x14ac:dyDescent="0.4">
      <c r="A71" t="s" s="92">
        <v>1626</v>
      </c>
      <c r="B71" s="93"/>
      <c r="C71" s="93"/>
      <c r="D71" s="93"/>
      <c r="E71" s="93"/>
    </row>
    <row r="72" ht="16" thickBot="1" x14ac:dyDescent="0.4">
      <c r="A72" t="s" s="99">
        <v>1620</v>
      </c>
      <c r="B72" t="s" s="100">
        <v>1621</v>
      </c>
      <c r="C72" s="1"/>
      <c r="D72" s="1"/>
      <c r="E72" s="2"/>
    </row>
    <row r="73" x14ac:dyDescent="0.35">
      <c r="A73" t="s" s="101">
        <v>30</v>
      </c>
      <c r="B73" s="102">
        <v>248991.58600000024</v>
      </c>
      <c r="C73" s="1"/>
      <c r="D73" s="1"/>
      <c r="E73" s="2"/>
    </row>
    <row r="74" x14ac:dyDescent="0.35">
      <c r="A74" t="s" s="101">
        <v>15</v>
      </c>
      <c r="B74" s="102">
        <v>507895.7363999993</v>
      </c>
      <c r="C74" s="1"/>
      <c r="D74" s="1"/>
      <c r="E74" s="2"/>
    </row>
    <row r="75" ht="16" thickBot="1" x14ac:dyDescent="0.4">
      <c r="A75" t="s" s="101">
        <v>26</v>
      </c>
      <c r="B75" s="102">
        <v>444794.17039999936</v>
      </c>
      <c r="C75" s="1"/>
      <c r="D75" s="1"/>
      <c r="E75" s="2"/>
    </row>
    <row r="76" x14ac:dyDescent="0.35">
      <c r="A76" s="3"/>
      <c r="B76" s="1"/>
      <c r="C76" s="1"/>
      <c r="D76" s="1"/>
      <c r="E76" s="2"/>
    </row>
    <row r="77" x14ac:dyDescent="0.35">
      <c r="A77" s="3"/>
      <c r="B77" s="1"/>
      <c r="C77" s="1"/>
      <c r="D77" s="1"/>
      <c r="E77" s="2"/>
    </row>
    <row r="78" ht="16" thickBot="1" x14ac:dyDescent="0.4">
      <c r="A78" s="18"/>
      <c r="B78" s="4"/>
      <c r="C78" s="4"/>
      <c r="D78" s="4"/>
      <c r="E78" s="19"/>
    </row>
    <row r="81" ht="16" thickBot="1" x14ac:dyDescent="0.4"/>
    <row r="82" ht="16" thickBot="1" x14ac:dyDescent="0.4"/>
    <row r="83" ht="16" thickBot="1" x14ac:dyDescent="0.4">
      <c r="A83" t="s" s="92">
        <v>1628</v>
      </c>
      <c r="B83" s="93"/>
      <c r="C83" s="93"/>
      <c r="D83" s="93"/>
      <c r="E83" s="93"/>
      <c r="F83" s="93"/>
      <c r="G83" s="93"/>
      <c r="H83" s="93"/>
      <c r="I83" s="93"/>
    </row>
    <row r="84" ht="16" thickBot="1" x14ac:dyDescent="0.4">
      <c r="A84" t="s" s="99">
        <v>1620</v>
      </c>
      <c r="B84" t="s" s="100">
        <v>1621</v>
      </c>
      <c r="C84" s="1"/>
      <c r="D84" t="s" s="99">
        <v>1627</v>
      </c>
      <c r="E84" t="s" s="100">
        <v>1608</v>
      </c>
      <c r="F84" s="1"/>
      <c r="G84" s="1"/>
      <c r="H84" s="1"/>
      <c r="I84" s="2"/>
    </row>
    <row r="85" x14ac:dyDescent="0.35">
      <c r="A85" t="s" s="101">
        <v>21</v>
      </c>
      <c r="B85" s="102">
        <v>472133.03319999954</v>
      </c>
      <c r="C85" s="1"/>
      <c r="D85" t="str" s="101">
        <f>A85</f>
        <v>Tier 3</v>
      </c>
      <c r="E85" s="102">
        <f>B85</f>
        <v>472133.03319999954</v>
      </c>
      <c r="F85" s="1"/>
      <c r="G85" s="1"/>
      <c r="H85" s="1"/>
      <c r="I85" s="2"/>
    </row>
    <row r="86" x14ac:dyDescent="0.35">
      <c r="A86" t="s" s="101">
        <v>34</v>
      </c>
      <c r="B86" s="102">
        <v>393150.64759999956</v>
      </c>
      <c r="C86" s="1"/>
      <c r="D86" t="str" s="101">
        <f t="shared" ref="D86:D87" si="0">A86</f>
        <v>Tier 2</v>
      </c>
      <c r="E86" s="102">
        <f t="shared" ref="E86:E87" si="1">B86</f>
        <v>393150.64759999956</v>
      </c>
      <c r="F86" s="1"/>
      <c r="G86" s="1"/>
      <c r="H86" s="1"/>
      <c r="I86" s="2"/>
    </row>
    <row r="87" ht="16" thickBot="1" x14ac:dyDescent="0.4">
      <c r="A87" t="s" s="101">
        <v>14</v>
      </c>
      <c r="B87" s="102">
        <v>336397.81199999945</v>
      </c>
      <c r="C87" s="1"/>
      <c r="D87" t="str" s="101">
        <f t="shared" si="0"/>
        <v>Tier 1</v>
      </c>
      <c r="E87" s="102">
        <f t="shared" si="1"/>
        <v>336397.81199999945</v>
      </c>
      <c r="F87" s="1"/>
      <c r="G87" s="1"/>
      <c r="H87" s="1"/>
      <c r="I87" s="2"/>
    </row>
    <row r="88" x14ac:dyDescent="0.35">
      <c r="A88" s="3"/>
      <c r="B88" s="1"/>
      <c r="C88" s="1"/>
      <c r="D88" s="1"/>
      <c r="E88" s="1"/>
      <c r="F88" s="1"/>
      <c r="G88" s="1"/>
      <c r="H88" s="1"/>
      <c r="I88" s="2"/>
    </row>
    <row r="89" x14ac:dyDescent="0.35">
      <c r="A89" s="3"/>
      <c r="B89" s="1"/>
      <c r="C89" s="1"/>
      <c r="D89" s="1"/>
      <c r="E89" s="1"/>
      <c r="F89" s="1"/>
      <c r="G89" s="1"/>
      <c r="H89" s="1"/>
      <c r="I89" s="2"/>
    </row>
    <row r="90" ht="16" thickBot="1" x14ac:dyDescent="0.4">
      <c r="A90" s="18"/>
      <c r="B90" s="4"/>
      <c r="C90" s="4"/>
      <c r="D90" s="4"/>
      <c r="E90" s="4"/>
      <c r="F90" s="4"/>
      <c r="G90" s="4"/>
      <c r="H90" s="4"/>
      <c r="I90" s="19"/>
    </row>
    <row r="93" ht="16" thickBot="1" x14ac:dyDescent="0.4"/>
    <row r="94" ht="16" thickBot="1" x14ac:dyDescent="0.4">
      <c r="A94" s="92" t="inlineStr">
        <is>
          <t>Total Sales by Outlet Type</t>
        </is>
      </c>
      <c r="B94" s="93"/>
      <c r="C94" s="93"/>
      <c r="D94" s="93"/>
      <c r="E94" s="93"/>
      <c r="F94" s="93"/>
    </row>
    <row r="95" ht="16" thickBot="1" x14ac:dyDescent="0.4">
      <c r="A95" t="s" s="99">
        <v>1620</v>
      </c>
      <c r="B95" t="s" s="100">
        <v>1621</v>
      </c>
      <c r="C95" s="1"/>
      <c r="D95" s="1"/>
      <c r="E95" s="1"/>
      <c r="F95" s="2"/>
    </row>
    <row r="96" x14ac:dyDescent="0.35">
      <c r="A96" t="s" s="101">
        <v>40</v>
      </c>
      <c r="B96" s="102">
        <v>151939.149</v>
      </c>
      <c r="C96" s="1"/>
      <c r="D96" s="1"/>
      <c r="E96" s="1"/>
      <c r="F96" s="2"/>
    </row>
    <row r="97" x14ac:dyDescent="0.35">
      <c r="A97" t="s" s="101">
        <v>46</v>
      </c>
      <c r="B97" s="102">
        <v>130714.67460000006</v>
      </c>
      <c r="C97" s="1"/>
      <c r="D97" s="1"/>
      <c r="E97" s="1"/>
      <c r="F97" s="2"/>
    </row>
    <row r="98" x14ac:dyDescent="0.35">
      <c r="A98" t="s" s="101">
        <v>22</v>
      </c>
      <c r="B98" s="102">
        <v>131477.77639999994</v>
      </c>
      <c r="C98" s="1"/>
      <c r="D98" s="1"/>
      <c r="E98" s="1"/>
      <c r="F98" s="2"/>
    </row>
    <row r="99" ht="16" thickBot="1" x14ac:dyDescent="0.4">
      <c r="A99" t="s" s="101">
        <v>16</v>
      </c>
      <c r="B99" s="102">
        <v>787549.89280000131</v>
      </c>
      <c r="C99" s="1"/>
      <c r="D99" s="1"/>
      <c r="E99" s="1"/>
      <c r="F99" s="2"/>
    </row>
    <row r="100" x14ac:dyDescent="0.35">
      <c r="A100" s="3"/>
      <c r="B100" s="1"/>
      <c r="C100" s="1"/>
      <c r="D100" s="1"/>
      <c r="E100" s="1"/>
      <c r="F100" s="2"/>
    </row>
    <row r="101" x14ac:dyDescent="0.35">
      <c r="A101" s="3"/>
      <c r="B101" s="1"/>
      <c r="C101" s="1"/>
      <c r="D101" s="1"/>
      <c r="E101" s="1"/>
      <c r="F101" s="2"/>
    </row>
    <row r="102" ht="16" thickBot="1" x14ac:dyDescent="0.4">
      <c r="A102" s="92" t="inlineStr">
        <is>
          <t>Average Sales per Item by Outlet Type</t>
        </is>
      </c>
      <c r="B102" s="93"/>
      <c r="C102" s="93"/>
      <c r="D102" s="93"/>
      <c r="E102" s="1"/>
      <c r="F102" s="2"/>
    </row>
    <row r="103" ht="16" thickBot="1" x14ac:dyDescent="0.4">
      <c r="A103" t="s" s="99">
        <v>1620</v>
      </c>
      <c r="B103" t="s" s="100">
        <v>1629</v>
      </c>
      <c r="C103" s="1"/>
      <c r="D103" s="1"/>
      <c r="E103" s="1"/>
      <c r="F103" s="2"/>
    </row>
    <row r="104" x14ac:dyDescent="0.35">
      <c r="A104" t="s" s="101">
        <v>40</v>
      </c>
      <c r="B104" s="102">
        <v>140.29468975069253</v>
      </c>
      <c r="C104" s="1"/>
      <c r="D104" s="1"/>
      <c r="E104" s="1"/>
      <c r="F104" s="2"/>
    </row>
    <row r="105" x14ac:dyDescent="0.35">
      <c r="A105" t="s" s="101">
        <v>46</v>
      </c>
      <c r="B105" s="102">
        <v>139.80179101604284</v>
      </c>
      <c r="C105" s="1"/>
      <c r="D105" s="1"/>
      <c r="E105" s="1"/>
      <c r="F105" s="2"/>
    </row>
    <row r="106" x14ac:dyDescent="0.35">
      <c r="A106" t="s" s="101">
        <v>22</v>
      </c>
      <c r="B106" s="102">
        <v>141.67863836206891</v>
      </c>
      <c r="C106" s="1"/>
      <c r="D106" s="1"/>
      <c r="E106" s="1"/>
      <c r="F106" s="2"/>
    </row>
    <row r="107" ht="16" thickBot="1" x14ac:dyDescent="0.4">
      <c r="A107" t="s" s="101">
        <v>16</v>
      </c>
      <c r="B107" s="102">
        <v>141.21389506903375</v>
      </c>
      <c r="C107" s="1"/>
      <c r="D107" s="1"/>
      <c r="E107" s="1"/>
      <c r="F107" s="2"/>
    </row>
    <row r="108" x14ac:dyDescent="0.35">
      <c r="A108" s="3"/>
      <c r="B108" s="1"/>
      <c r="C108" s="1"/>
      <c r="D108" s="1"/>
      <c r="E108" s="1"/>
      <c r="F108" s="2"/>
    </row>
    <row r="109" x14ac:dyDescent="0.35">
      <c r="A109" s="3"/>
      <c r="B109" s="1"/>
      <c r="C109" s="1"/>
      <c r="D109" s="1"/>
      <c r="E109" s="1"/>
      <c r="F109" s="2"/>
    </row>
    <row r="110" x14ac:dyDescent="0.35">
      <c r="A110" s="3"/>
      <c r="B110" s="1"/>
      <c r="C110" s="1"/>
      <c r="D110" s="1"/>
      <c r="E110" s="1"/>
      <c r="F110" s="2"/>
    </row>
    <row r="111" ht="16" thickBot="1" x14ac:dyDescent="0.4">
      <c r="A111" s="92" t="inlineStr">
        <is>
          <t>Item Count by Outlet Type</t>
        </is>
      </c>
      <c r="B111" s="93"/>
      <c r="C111" s="93"/>
      <c r="D111" s="93"/>
      <c r="E111" s="1"/>
      <c r="F111" s="2"/>
    </row>
    <row r="112" ht="16" thickBot="1" x14ac:dyDescent="0.4">
      <c r="A112" t="s" s="99">
        <v>1620</v>
      </c>
      <c r="B112" t="s" s="100">
        <v>1630</v>
      </c>
      <c r="C112" s="1"/>
      <c r="D112" s="1"/>
      <c r="E112" s="1"/>
      <c r="F112" s="2"/>
    </row>
    <row r="113" x14ac:dyDescent="0.35">
      <c r="A113" t="s" s="101">
        <v>40</v>
      </c>
      <c r="B113" s="103">
        <v>1083</v>
      </c>
      <c r="C113" s="1"/>
      <c r="D113" s="1"/>
      <c r="E113" s="1"/>
      <c r="F113" s="2"/>
    </row>
    <row r="114" x14ac:dyDescent="0.35">
      <c r="A114" t="s" s="101">
        <v>46</v>
      </c>
      <c r="B114" s="103">
        <v>935</v>
      </c>
      <c r="C114" s="1"/>
      <c r="D114" s="1"/>
      <c r="E114" s="1"/>
      <c r="F114" s="2"/>
    </row>
    <row r="115" x14ac:dyDescent="0.35">
      <c r="A115" t="s" s="101">
        <v>22</v>
      </c>
      <c r="B115" s="103">
        <v>928</v>
      </c>
      <c r="C115" s="1"/>
      <c r="D115" s="1"/>
      <c r="E115" s="1"/>
      <c r="F115" s="2"/>
    </row>
    <row r="116" ht="16" thickBot="1" x14ac:dyDescent="0.4">
      <c r="A116" t="s" s="101">
        <v>16</v>
      </c>
      <c r="B116" s="103">
        <v>5577</v>
      </c>
      <c r="C116" s="1"/>
      <c r="D116" s="1"/>
      <c r="E116" s="1"/>
      <c r="F116" s="2"/>
    </row>
    <row r="117" x14ac:dyDescent="0.35">
      <c r="A117" s="3"/>
      <c r="B117" s="1"/>
      <c r="C117" s="1"/>
      <c r="D117" s="1"/>
      <c r="E117" s="1"/>
      <c r="F117" s="2"/>
    </row>
    <row r="118" x14ac:dyDescent="0.35">
      <c r="A118" s="3"/>
      <c r="B118" s="1"/>
      <c r="C118" s="1"/>
      <c r="D118" s="1"/>
      <c r="E118" s="1"/>
      <c r="F118" s="2"/>
    </row>
    <row r="119" ht="16" thickBot="1" x14ac:dyDescent="0.4">
      <c r="A119" s="18"/>
      <c r="B119" s="4"/>
      <c r="C119" s="4"/>
      <c r="D119" s="4"/>
      <c r="E119" s="4"/>
      <c r="F119" s="19"/>
    </row>
  </sheetData>
  <mergeCells count="8">
    <mergeCell ref="A83:I83"/>
    <mergeCell ref="A94:F94"/>
    <mergeCell ref="A71:E71"/>
    <mergeCell ref="A3:D3"/>
    <mergeCell ref="A10:D10"/>
    <mergeCell ref="A21:D21"/>
    <mergeCell ref="A35:H35"/>
    <mergeCell ref="A56:G56"/>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sheetPr>
    <tabColor rgb="FF625BEE"/>
    <pageSetUpPr fitToPage="1"/>
  </sheetPr>
  <dimension ref="A1:AW93"/>
  <sheetViews>
    <sheetView showGridLines="0" tabSelected="1" zoomScale="80" zoomScaleNormal="80" workbookViewId="0">
      <selection activeCell="A1" sqref="A1"/>
    </sheetView>
  </sheetViews>
  <sheetFormatPr defaultRowHeight="20" customHeight="1"/>
  <cols>
    <col min="1" max="1" width="2.6" style="89" customWidth="1"/>
    <col min="2" max="48" width="3.625" style="89" customWidth="1"/>
    <col min="49" max="49" width="2.6" style="89" customWidth="1"/>
    <col min="50" max="16384" width="9" style="89"/>
  </cols>
  <sheetData>
    <row r="1" ht="8" customHeight="1"/>
    <row r="2" ht="36" customHeight="1">
      <c r="B2" s="46" t="inlineStr">
        <is>
          <t xml:space="preserve">Blinkit Sales Analytics Dashboard</t>
        </is>
      </c>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row>
    <row r="3" ht="21" customHeight="1">
      <c r="B3" s="48" t="inlineStr">
        <is>
          <t xml:space="preserve">Sales Performance | Product Insights | Outlet Analysis</t>
        </is>
      </c>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row>
    <row r="4" ht="21" customHeight="1">
      <c r="B4" s="50" t="inlineStr">
        <is>
          <t xml:space="preserve">Data scope: 8,523 item records from 10 outlets. The dataset specifies no reporting period or currency.</t>
        </is>
      </c>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row>
    <row r="5" ht="10" customHeight="1">
      <c r="B5" s="48"/>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row>
    <row r="6" ht="12" customHeight="1"/>
    <row r="7" ht="22" customHeight="1">
      <c r="B7" s="52" t="inlineStr">
        <is>
          <t xml:space="preserve">FILTERS</t>
        </is>
      </c>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3" t="inlineStr">
        <is>
          <t xml:space="preserve">Click a button to filter every chart and KPI. Ctrl+click selects several; use the clear icon to reset.</t>
        </is>
      </c>
    </row>
    <row r="8" ht="20" customHeight="1">
      <c r="B8" s="54"/>
      <c r="C8" s="55"/>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6"/>
    </row>
    <row r="9" ht="20" customHeight="1">
      <c r="B9" s="57"/>
      <c r="C9" s="58"/>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9"/>
    </row>
    <row r="10" ht="20" customHeight="1">
      <c r="B10" s="57"/>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9"/>
    </row>
    <row r="11" ht="20" customHeight="1">
      <c r="B11" s="57"/>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9"/>
    </row>
    <row r="12" ht="20" customHeight="1">
      <c r="B12" s="57"/>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9"/>
    </row>
    <row r="13" ht="20" customHeight="1">
      <c r="B13" s="57"/>
      <c r="C13" s="58"/>
      <c r="D13" s="58"/>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9"/>
    </row>
    <row r="14" ht="20" customHeight="1">
      <c r="B14" s="60"/>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2"/>
    </row>
    <row r="15" ht="12" customHeight="1"/>
    <row r="16" ht="22" customHeight="1">
      <c r="B16" s="52" t="inlineStr">
        <is>
          <t xml:space="preserve">SALES OVERVIEW</t>
        </is>
      </c>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row>
    <row r="17" ht="8" customHeight="1">
      <c r="B17" s="63"/>
      <c r="C17" s="64"/>
      <c r="D17" s="64"/>
      <c r="E17" s="64"/>
      <c r="F17" s="64"/>
      <c r="G17" s="64"/>
      <c r="H17" s="64"/>
      <c r="I17" s="64"/>
      <c r="J17" s="64"/>
      <c r="K17" s="64"/>
      <c r="L17" s="65"/>
      <c r="N17" s="63"/>
      <c r="O17" s="64"/>
      <c r="P17" s="64"/>
      <c r="Q17" s="64"/>
      <c r="R17" s="64"/>
      <c r="S17" s="64"/>
      <c r="T17" s="64"/>
      <c r="U17" s="64"/>
      <c r="V17" s="64"/>
      <c r="W17" s="64"/>
      <c r="X17" s="65"/>
      <c r="Z17" s="63"/>
      <c r="AA17" s="64"/>
      <c r="AB17" s="64"/>
      <c r="AC17" s="64"/>
      <c r="AD17" s="64"/>
      <c r="AE17" s="64"/>
      <c r="AF17" s="64"/>
      <c r="AG17" s="64"/>
      <c r="AH17" s="64"/>
      <c r="AI17" s="64"/>
      <c r="AJ17" s="65"/>
      <c r="AL17" s="63"/>
      <c r="AM17" s="64"/>
      <c r="AN17" s="64"/>
      <c r="AO17" s="64"/>
      <c r="AP17" s="64"/>
      <c r="AQ17" s="64"/>
      <c r="AR17" s="64"/>
      <c r="AS17" s="64"/>
      <c r="AT17" s="64"/>
      <c r="AU17" s="64"/>
      <c r="AV17" s="65"/>
    </row>
    <row r="18" ht="20" customHeight="1">
      <c r="B18" s="66" t="inlineStr">
        <is>
          <t xml:space="preserve">TOTAL SALES</t>
        </is>
      </c>
      <c r="C18" s="67"/>
      <c r="D18" s="67"/>
      <c r="E18" s="67"/>
      <c r="F18" s="67"/>
      <c r="G18" s="67"/>
      <c r="H18" s="67"/>
      <c r="I18" s="67"/>
      <c r="J18" s="67"/>
      <c r="K18" s="67"/>
      <c r="L18" s="68"/>
      <c r="N18" s="66" t="inlineStr">
        <is>
          <t xml:space="preserve">AVERAGE SALES PER ITEM</t>
        </is>
      </c>
      <c r="O18" s="67"/>
      <c r="P18" s="67"/>
      <c r="Q18" s="67"/>
      <c r="R18" s="67"/>
      <c r="S18" s="67"/>
      <c r="T18" s="67"/>
      <c r="U18" s="67"/>
      <c r="V18" s="67"/>
      <c r="W18" s="67"/>
      <c r="X18" s="68"/>
      <c r="Z18" s="66" t="inlineStr">
        <is>
          <t xml:space="preserve">ITEMS (RECORDS)</t>
        </is>
      </c>
      <c r="AA18" s="67"/>
      <c r="AB18" s="67"/>
      <c r="AC18" s="67"/>
      <c r="AD18" s="67"/>
      <c r="AE18" s="67"/>
      <c r="AF18" s="67"/>
      <c r="AG18" s="67"/>
      <c r="AH18" s="67"/>
      <c r="AI18" s="67"/>
      <c r="AJ18" s="68"/>
      <c r="AL18" s="66" t="inlineStr">
        <is>
          <t xml:space="preserve">AVERAGE RATING</t>
        </is>
      </c>
      <c r="AM18" s="67"/>
      <c r="AN18" s="67"/>
      <c r="AO18" s="67"/>
      <c r="AP18" s="67"/>
      <c r="AQ18" s="67"/>
      <c r="AR18" s="67"/>
      <c r="AS18" s="67"/>
      <c r="AT18" s="67"/>
      <c r="AU18" s="67"/>
      <c r="AV18" s="68"/>
    </row>
    <row r="19" ht="38" customHeight="1">
      <c r="B19" s="69">
        <f>'Dashboard Analysis'!A8</f>
        <v>1201681.4928000034</v>
      </c>
      <c r="C19" s="70"/>
      <c r="D19" s="70"/>
      <c r="E19" s="70"/>
      <c r="F19" s="70"/>
      <c r="G19" s="70"/>
      <c r="H19" s="70"/>
      <c r="I19" s="70"/>
      <c r="J19" s="70"/>
      <c r="K19" s="70"/>
      <c r="L19" s="71"/>
      <c r="N19" s="69">
        <f>'Dashboard Analysis'!B8</f>
        <v>140.99278338613203</v>
      </c>
      <c r="O19" s="70"/>
      <c r="P19" s="70"/>
      <c r="Q19" s="70"/>
      <c r="R19" s="70"/>
      <c r="S19" s="70"/>
      <c r="T19" s="70"/>
      <c r="U19" s="70"/>
      <c r="V19" s="70"/>
      <c r="W19" s="70"/>
      <c r="X19" s="71"/>
      <c r="Z19" s="78">
        <f>'Dashboard Analysis'!C8</f>
        <v>8523</v>
      </c>
      <c r="AA19" s="79"/>
      <c r="AB19" s="79"/>
      <c r="AC19" s="79"/>
      <c r="AD19" s="79"/>
      <c r="AE19" s="79"/>
      <c r="AF19" s="79"/>
      <c r="AG19" s="79"/>
      <c r="AH19" s="79"/>
      <c r="AI19" s="79"/>
      <c r="AJ19" s="80"/>
      <c r="AL19" s="81">
        <f>'Dashboard Analysis'!D8</f>
        <v>3.9658570925731196</v>
      </c>
      <c r="AM19" s="82"/>
      <c r="AN19" s="82"/>
      <c r="AO19" s="82"/>
      <c r="AP19" s="82"/>
      <c r="AQ19" s="82"/>
      <c r="AR19" s="82"/>
      <c r="AS19" s="82"/>
      <c r="AT19" s="82"/>
      <c r="AU19" s="82"/>
      <c r="AV19" s="83"/>
    </row>
    <row r="20" ht="20" customHeight="1">
      <c r="B20" s="72" t="inlineStr">
        <is>
          <t xml:space="preserve">Sum of Sales (currency not specified in dataset)</t>
        </is>
      </c>
      <c r="C20" s="73"/>
      <c r="D20" s="73"/>
      <c r="E20" s="73"/>
      <c r="F20" s="73"/>
      <c r="G20" s="73"/>
      <c r="H20" s="73"/>
      <c r="I20" s="73"/>
      <c r="J20" s="73"/>
      <c r="K20" s="73"/>
      <c r="L20" s="74"/>
      <c r="N20" s="72" t="inlineStr">
        <is>
          <t xml:space="preserve">Average of Sales per item record</t>
        </is>
      </c>
      <c r="O20" s="73"/>
      <c r="P20" s="73"/>
      <c r="Q20" s="73"/>
      <c r="R20" s="73"/>
      <c r="S20" s="73"/>
      <c r="T20" s="73"/>
      <c r="U20" s="73"/>
      <c r="V20" s="73"/>
      <c r="W20" s="73"/>
      <c r="X20" s="74"/>
      <c r="Z20" s="72" t="inlineStr">
        <is>
          <t xml:space="preserve">Item records in dataset, not verified units sold</t>
        </is>
      </c>
      <c r="AA20" s="73"/>
      <c r="AB20" s="73"/>
      <c r="AC20" s="73"/>
      <c r="AD20" s="73"/>
      <c r="AE20" s="73"/>
      <c r="AF20" s="73"/>
      <c r="AG20" s="73"/>
      <c r="AH20" s="73"/>
      <c r="AI20" s="73"/>
      <c r="AJ20" s="74"/>
      <c r="AL20" s="72" t="inlineStr">
        <is>
          <t xml:space="preserve">Average of Rating</t>
        </is>
      </c>
      <c r="AM20" s="73"/>
      <c r="AN20" s="73"/>
      <c r="AO20" s="73"/>
      <c r="AP20" s="73"/>
      <c r="AQ20" s="73"/>
      <c r="AR20" s="73"/>
      <c r="AS20" s="73"/>
      <c r="AT20" s="73"/>
      <c r="AU20" s="73"/>
      <c r="AV20" s="74"/>
    </row>
    <row r="21" ht="8" customHeight="1">
      <c r="B21" s="75"/>
      <c r="C21" s="76"/>
      <c r="D21" s="76"/>
      <c r="E21" s="76"/>
      <c r="F21" s="76"/>
      <c r="G21" s="76"/>
      <c r="H21" s="76"/>
      <c r="I21" s="76"/>
      <c r="J21" s="76"/>
      <c r="K21" s="76"/>
      <c r="L21" s="77"/>
      <c r="N21" s="75"/>
      <c r="O21" s="76"/>
      <c r="P21" s="76"/>
      <c r="Q21" s="76"/>
      <c r="R21" s="76"/>
      <c r="S21" s="76"/>
      <c r="T21" s="76"/>
      <c r="U21" s="76"/>
      <c r="V21" s="76"/>
      <c r="W21" s="76"/>
      <c r="X21" s="77"/>
      <c r="Z21" s="75"/>
      <c r="AA21" s="76"/>
      <c r="AB21" s="76"/>
      <c r="AC21" s="76"/>
      <c r="AD21" s="76"/>
      <c r="AE21" s="76"/>
      <c r="AF21" s="76"/>
      <c r="AG21" s="76"/>
      <c r="AH21" s="76"/>
      <c r="AI21" s="76"/>
      <c r="AJ21" s="77"/>
      <c r="AL21" s="75"/>
      <c r="AM21" s="76"/>
      <c r="AN21" s="76"/>
      <c r="AO21" s="76"/>
      <c r="AP21" s="76"/>
      <c r="AQ21" s="76"/>
      <c r="AR21" s="76"/>
      <c r="AS21" s="76"/>
      <c r="AT21" s="76"/>
      <c r="AU21" s="76"/>
      <c r="AV21" s="77"/>
    </row>
    <row r="22" ht="12" customHeight="1"/>
    <row r="23" ht="24" customHeight="1">
      <c r="B23" s="84" t="inlineStr">
        <is>
          <t xml:space="preserve">Total Sales by Outlet Establishment Year</t>
        </is>
      </c>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6"/>
    </row>
    <row r="24" ht="20" customHeight="1">
      <c r="B24" s="57"/>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9"/>
    </row>
    <row r="25" ht="20" customHeight="1">
      <c r="B25" s="57"/>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9"/>
    </row>
    <row r="26" ht="20" customHeight="1">
      <c r="B26" s="57"/>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9"/>
    </row>
    <row r="27" ht="20" customHeight="1">
      <c r="B27" s="57"/>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9"/>
    </row>
    <row r="28" ht="20" customHeight="1">
      <c r="B28" s="57"/>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9"/>
    </row>
    <row r="29" ht="20" customHeight="1">
      <c r="B29" s="57"/>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9"/>
    </row>
    <row r="30" ht="20" customHeight="1">
      <c r="B30" s="57"/>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9"/>
    </row>
    <row r="31" ht="20" customHeight="1">
      <c r="B31" s="57"/>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9"/>
    </row>
    <row r="32" ht="20" customHeight="1">
      <c r="B32" s="57"/>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9"/>
    </row>
    <row r="33" ht="20" customHeight="1">
      <c r="B33" s="57"/>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9"/>
    </row>
    <row r="34" ht="20" customHeight="1">
      <c r="B34" s="57"/>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9"/>
    </row>
    <row r="35" ht="6" customHeight="1">
      <c r="B35" s="60"/>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2"/>
    </row>
    <row r="36" ht="12" customHeight="1"/>
    <row r="37" ht="22" customHeight="1">
      <c r="B37" s="52" t="inlineStr">
        <is>
          <t xml:space="preserve">PRODUCT INSIGHTS</t>
        </is>
      </c>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row>
    <row r="38" ht="24" customHeight="1">
      <c r="B38" s="84" t="inlineStr">
        <is>
          <t xml:space="preserve">Total Sales by Item Type</t>
        </is>
      </c>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6"/>
      <c r="AH38" s="84" t="inlineStr">
        <is>
          <t xml:space="preserve">Sales Share by Fat Content</t>
        </is>
      </c>
      <c r="AI38" s="85"/>
      <c r="AJ38" s="85"/>
      <c r="AK38" s="85"/>
      <c r="AL38" s="85"/>
      <c r="AM38" s="85"/>
      <c r="AN38" s="85"/>
      <c r="AO38" s="85"/>
      <c r="AP38" s="85"/>
      <c r="AQ38" s="85"/>
      <c r="AR38" s="85"/>
      <c r="AS38" s="85"/>
      <c r="AT38" s="85"/>
      <c r="AU38" s="85"/>
      <c r="AV38" s="86"/>
    </row>
    <row r="39" ht="20" customHeight="1">
      <c r="B39" s="57"/>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9"/>
      <c r="AH39" s="57"/>
      <c r="AI39" s="58"/>
      <c r="AJ39" s="58"/>
      <c r="AK39" s="58"/>
      <c r="AL39" s="58"/>
      <c r="AM39" s="58"/>
      <c r="AN39" s="58"/>
      <c r="AO39" s="58"/>
      <c r="AP39" s="58"/>
      <c r="AQ39" s="58"/>
      <c r="AR39" s="58"/>
      <c r="AS39" s="58"/>
      <c r="AT39" s="58"/>
      <c r="AU39" s="58"/>
      <c r="AV39" s="59"/>
    </row>
    <row r="40" ht="20" customHeight="1">
      <c r="B40" s="57"/>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9"/>
      <c r="AH40" s="57"/>
      <c r="AI40" s="58"/>
      <c r="AJ40" s="58"/>
      <c r="AK40" s="58"/>
      <c r="AL40" s="58"/>
      <c r="AM40" s="58"/>
      <c r="AN40" s="58"/>
      <c r="AO40" s="58"/>
      <c r="AP40" s="58"/>
      <c r="AQ40" s="58"/>
      <c r="AR40" s="58"/>
      <c r="AS40" s="58"/>
      <c r="AT40" s="58"/>
      <c r="AU40" s="58"/>
      <c r="AV40" s="59"/>
    </row>
    <row r="41" ht="20" customHeight="1">
      <c r="B41" s="57"/>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9"/>
      <c r="AH41" s="57"/>
      <c r="AI41" s="58"/>
      <c r="AJ41" s="58"/>
      <c r="AK41" s="58"/>
      <c r="AL41" s="58"/>
      <c r="AM41" s="58"/>
      <c r="AN41" s="58"/>
      <c r="AO41" s="58"/>
      <c r="AP41" s="58"/>
      <c r="AQ41" s="58"/>
      <c r="AR41" s="58"/>
      <c r="AS41" s="58"/>
      <c r="AT41" s="58"/>
      <c r="AU41" s="58"/>
      <c r="AV41" s="59"/>
    </row>
    <row r="42" ht="20" customHeight="1">
      <c r="B42" s="57"/>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9"/>
      <c r="AH42" s="57"/>
      <c r="AI42" s="58"/>
      <c r="AJ42" s="58"/>
      <c r="AK42" s="58"/>
      <c r="AL42" s="58"/>
      <c r="AM42" s="58"/>
      <c r="AN42" s="58"/>
      <c r="AO42" s="58"/>
      <c r="AP42" s="58"/>
      <c r="AQ42" s="58"/>
      <c r="AR42" s="58"/>
      <c r="AS42" s="58"/>
      <c r="AT42" s="58"/>
      <c r="AU42" s="58"/>
      <c r="AV42" s="59"/>
    </row>
    <row r="43" ht="20" customHeight="1">
      <c r="B43" s="57"/>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9"/>
      <c r="AH43" s="57"/>
      <c r="AI43" s="58"/>
      <c r="AJ43" s="58"/>
      <c r="AK43" s="58"/>
      <c r="AL43" s="58"/>
      <c r="AM43" s="58"/>
      <c r="AN43" s="58"/>
      <c r="AO43" s="58"/>
      <c r="AP43" s="58"/>
      <c r="AQ43" s="58"/>
      <c r="AR43" s="58"/>
      <c r="AS43" s="58"/>
      <c r="AT43" s="58"/>
      <c r="AU43" s="58"/>
      <c r="AV43" s="59"/>
    </row>
    <row r="44" ht="20" customHeight="1">
      <c r="B44" s="57"/>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9"/>
      <c r="AH44" s="57"/>
      <c r="AI44" s="58"/>
      <c r="AJ44" s="58"/>
      <c r="AK44" s="58"/>
      <c r="AL44" s="58"/>
      <c r="AM44" s="58"/>
      <c r="AN44" s="58"/>
      <c r="AO44" s="58"/>
      <c r="AP44" s="58"/>
      <c r="AQ44" s="58"/>
      <c r="AR44" s="58"/>
      <c r="AS44" s="58"/>
      <c r="AT44" s="58"/>
      <c r="AU44" s="58"/>
      <c r="AV44" s="59"/>
    </row>
    <row r="45" ht="20" customHeight="1">
      <c r="B45" s="57"/>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9"/>
      <c r="AH45" s="57"/>
      <c r="AI45" s="58"/>
      <c r="AJ45" s="58"/>
      <c r="AK45" s="58"/>
      <c r="AL45" s="58"/>
      <c r="AM45" s="58"/>
      <c r="AN45" s="58"/>
      <c r="AO45" s="58"/>
      <c r="AP45" s="58"/>
      <c r="AQ45" s="58"/>
      <c r="AR45" s="58"/>
      <c r="AS45" s="58"/>
      <c r="AT45" s="58"/>
      <c r="AU45" s="58"/>
      <c r="AV45" s="59"/>
    </row>
    <row r="46" ht="20" customHeight="1">
      <c r="B46" s="57"/>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9"/>
      <c r="AH46" s="57"/>
      <c r="AI46" s="58"/>
      <c r="AJ46" s="58"/>
      <c r="AK46" s="58"/>
      <c r="AL46" s="58"/>
      <c r="AM46" s="58"/>
      <c r="AN46" s="58"/>
      <c r="AO46" s="58"/>
      <c r="AP46" s="58"/>
      <c r="AQ46" s="58"/>
      <c r="AR46" s="58"/>
      <c r="AS46" s="58"/>
      <c r="AT46" s="58"/>
      <c r="AU46" s="58"/>
      <c r="AV46" s="59"/>
    </row>
    <row r="47" ht="20" customHeight="1">
      <c r="B47" s="57"/>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9"/>
      <c r="AH47" s="57"/>
      <c r="AI47" s="58"/>
      <c r="AJ47" s="58"/>
      <c r="AK47" s="58"/>
      <c r="AL47" s="58"/>
      <c r="AM47" s="58"/>
      <c r="AN47" s="58"/>
      <c r="AO47" s="58"/>
      <c r="AP47" s="58"/>
      <c r="AQ47" s="58"/>
      <c r="AR47" s="58"/>
      <c r="AS47" s="58"/>
      <c r="AT47" s="58"/>
      <c r="AU47" s="58"/>
      <c r="AV47" s="59"/>
    </row>
    <row r="48" ht="20" customHeight="1">
      <c r="B48" s="57"/>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9"/>
      <c r="AH48" s="57"/>
      <c r="AI48" s="58"/>
      <c r="AJ48" s="58"/>
      <c r="AK48" s="58"/>
      <c r="AL48" s="58"/>
      <c r="AM48" s="58"/>
      <c r="AN48" s="58"/>
      <c r="AO48" s="58"/>
      <c r="AP48" s="58"/>
      <c r="AQ48" s="58"/>
      <c r="AR48" s="58"/>
      <c r="AS48" s="58"/>
      <c r="AT48" s="58"/>
      <c r="AU48" s="58"/>
      <c r="AV48" s="59"/>
    </row>
    <row r="49" ht="20" customHeight="1">
      <c r="B49" s="57"/>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9"/>
      <c r="AH49" s="57"/>
      <c r="AI49" s="58"/>
      <c r="AJ49" s="58"/>
      <c r="AK49" s="58"/>
      <c r="AL49" s="58"/>
      <c r="AM49" s="58"/>
      <c r="AN49" s="58"/>
      <c r="AO49" s="58"/>
      <c r="AP49" s="58"/>
      <c r="AQ49" s="58"/>
      <c r="AR49" s="58"/>
      <c r="AS49" s="58"/>
      <c r="AT49" s="58"/>
      <c r="AU49" s="58"/>
      <c r="AV49" s="59"/>
    </row>
    <row r="50" ht="20" customHeight="1">
      <c r="B50" s="57"/>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9"/>
      <c r="AH50" s="57"/>
      <c r="AI50" s="58"/>
      <c r="AJ50" s="58"/>
      <c r="AK50" s="58"/>
      <c r="AL50" s="58"/>
      <c r="AM50" s="58"/>
      <c r="AN50" s="58"/>
      <c r="AO50" s="58"/>
      <c r="AP50" s="58"/>
      <c r="AQ50" s="58"/>
      <c r="AR50" s="58"/>
      <c r="AS50" s="58"/>
      <c r="AT50" s="58"/>
      <c r="AU50" s="58"/>
      <c r="AV50" s="59"/>
    </row>
    <row r="51" ht="20" customHeight="1">
      <c r="B51" s="57"/>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9"/>
      <c r="AH51" s="57"/>
      <c r="AI51" s="58"/>
      <c r="AJ51" s="58"/>
      <c r="AK51" s="58"/>
      <c r="AL51" s="58"/>
      <c r="AM51" s="58"/>
      <c r="AN51" s="58"/>
      <c r="AO51" s="58"/>
      <c r="AP51" s="58"/>
      <c r="AQ51" s="58"/>
      <c r="AR51" s="58"/>
      <c r="AS51" s="58"/>
      <c r="AT51" s="58"/>
      <c r="AU51" s="58"/>
      <c r="AV51" s="59"/>
    </row>
    <row r="52" ht="20" customHeight="1">
      <c r="B52" s="57"/>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9"/>
      <c r="AH52" s="57"/>
      <c r="AI52" s="58"/>
      <c r="AJ52" s="58"/>
      <c r="AK52" s="58"/>
      <c r="AL52" s="58"/>
      <c r="AM52" s="58"/>
      <c r="AN52" s="58"/>
      <c r="AO52" s="58"/>
      <c r="AP52" s="58"/>
      <c r="AQ52" s="58"/>
      <c r="AR52" s="58"/>
      <c r="AS52" s="58"/>
      <c r="AT52" s="58"/>
      <c r="AU52" s="58"/>
      <c r="AV52" s="59"/>
    </row>
    <row r="53" ht="6" customHeight="1">
      <c r="B53" s="60"/>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2"/>
      <c r="AH53" s="60"/>
      <c r="AI53" s="61"/>
      <c r="AJ53" s="61"/>
      <c r="AK53" s="61"/>
      <c r="AL53" s="61"/>
      <c r="AM53" s="61"/>
      <c r="AN53" s="61"/>
      <c r="AO53" s="61"/>
      <c r="AP53" s="61"/>
      <c r="AQ53" s="61"/>
      <c r="AR53" s="61"/>
      <c r="AS53" s="61"/>
      <c r="AT53" s="61"/>
      <c r="AU53" s="61"/>
      <c r="AV53" s="62"/>
    </row>
    <row r="54" ht="12" customHeight="1"/>
    <row r="55" ht="22" customHeight="1">
      <c r="B55" s="52" t="inlineStr">
        <is>
          <t xml:space="preserve">OUTLET PERFORMANCE</t>
        </is>
      </c>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row>
    <row r="56" ht="24" customHeight="1">
      <c r="B56" s="84" t="inlineStr">
        <is>
          <t xml:space="preserve">Sales Share by Outlet Size</t>
        </is>
      </c>
      <c r="C56" s="85"/>
      <c r="D56" s="85"/>
      <c r="E56" s="85"/>
      <c r="F56" s="85"/>
      <c r="G56" s="85"/>
      <c r="H56" s="85"/>
      <c r="I56" s="85"/>
      <c r="J56" s="85"/>
      <c r="K56" s="85"/>
      <c r="L56" s="85"/>
      <c r="M56" s="85"/>
      <c r="N56" s="85"/>
      <c r="O56" s="85"/>
      <c r="P56" s="86"/>
      <c r="R56" s="84" t="inlineStr">
        <is>
          <t xml:space="preserve">Total Sales by Outlet Location Type</t>
        </is>
      </c>
      <c r="S56" s="85"/>
      <c r="T56" s="85"/>
      <c r="U56" s="85"/>
      <c r="V56" s="85"/>
      <c r="W56" s="85"/>
      <c r="X56" s="85"/>
      <c r="Y56" s="85"/>
      <c r="Z56" s="85"/>
      <c r="AA56" s="85"/>
      <c r="AB56" s="85"/>
      <c r="AC56" s="85"/>
      <c r="AD56" s="85"/>
      <c r="AE56" s="85"/>
      <c r="AF56" s="86"/>
      <c r="AH56" s="84" t="inlineStr">
        <is>
          <t xml:space="preserve">Sales by Outlet Location Type and Fat Content</t>
        </is>
      </c>
      <c r="AI56" s="85"/>
      <c r="AJ56" s="85"/>
      <c r="AK56" s="85"/>
      <c r="AL56" s="85"/>
      <c r="AM56" s="85"/>
      <c r="AN56" s="85"/>
      <c r="AO56" s="85"/>
      <c r="AP56" s="85"/>
      <c r="AQ56" s="85"/>
      <c r="AR56" s="85"/>
      <c r="AS56" s="85"/>
      <c r="AT56" s="85"/>
      <c r="AU56" s="85"/>
      <c r="AV56" s="86"/>
    </row>
    <row r="57" ht="20" customHeight="1">
      <c r="B57" s="57"/>
      <c r="C57" s="58"/>
      <c r="D57" s="58"/>
      <c r="E57" s="58"/>
      <c r="F57" s="58"/>
      <c r="G57" s="58"/>
      <c r="H57" s="58"/>
      <c r="I57" s="58"/>
      <c r="J57" s="58"/>
      <c r="K57" s="58"/>
      <c r="L57" s="58"/>
      <c r="M57" s="58"/>
      <c r="N57" s="58"/>
      <c r="O57" s="58"/>
      <c r="P57" s="59"/>
      <c r="R57" s="57"/>
      <c r="S57" s="58"/>
      <c r="T57" s="58"/>
      <c r="U57" s="58"/>
      <c r="V57" s="58"/>
      <c r="W57" s="58"/>
      <c r="X57" s="58"/>
      <c r="Y57" s="58"/>
      <c r="Z57" s="58"/>
      <c r="AA57" s="58"/>
      <c r="AB57" s="58"/>
      <c r="AC57" s="58"/>
      <c r="AD57" s="58"/>
      <c r="AE57" s="58"/>
      <c r="AF57" s="59"/>
      <c r="AH57" s="57"/>
      <c r="AI57" s="58"/>
      <c r="AJ57" s="58"/>
      <c r="AK57" s="58"/>
      <c r="AL57" s="58"/>
      <c r="AM57" s="58"/>
      <c r="AN57" s="58"/>
      <c r="AO57" s="58"/>
      <c r="AP57" s="58"/>
      <c r="AQ57" s="58"/>
      <c r="AR57" s="58"/>
      <c r="AS57" s="58"/>
      <c r="AT57" s="58"/>
      <c r="AU57" s="58"/>
      <c r="AV57" s="59"/>
    </row>
    <row r="58" ht="20" customHeight="1">
      <c r="B58" s="57"/>
      <c r="C58" s="58"/>
      <c r="D58" s="58"/>
      <c r="E58" s="58"/>
      <c r="F58" s="58"/>
      <c r="G58" s="58"/>
      <c r="H58" s="58"/>
      <c r="I58" s="58"/>
      <c r="J58" s="58"/>
      <c r="K58" s="58"/>
      <c r="L58" s="58"/>
      <c r="M58" s="58"/>
      <c r="N58" s="58"/>
      <c r="O58" s="58"/>
      <c r="P58" s="59"/>
      <c r="R58" s="57"/>
      <c r="S58" s="58"/>
      <c r="T58" s="58"/>
      <c r="U58" s="58"/>
      <c r="V58" s="58"/>
      <c r="W58" s="58"/>
      <c r="X58" s="58"/>
      <c r="Y58" s="58"/>
      <c r="Z58" s="58"/>
      <c r="AA58" s="58"/>
      <c r="AB58" s="58"/>
      <c r="AC58" s="58"/>
      <c r="AD58" s="58"/>
      <c r="AE58" s="58"/>
      <c r="AF58" s="59"/>
      <c r="AH58" s="57"/>
      <c r="AI58" s="58"/>
      <c r="AJ58" s="58"/>
      <c r="AK58" s="58"/>
      <c r="AL58" s="58"/>
      <c r="AM58" s="58"/>
      <c r="AN58" s="58"/>
      <c r="AO58" s="58"/>
      <c r="AP58" s="58"/>
      <c r="AQ58" s="58"/>
      <c r="AR58" s="58"/>
      <c r="AS58" s="58"/>
      <c r="AT58" s="58"/>
      <c r="AU58" s="58"/>
      <c r="AV58" s="59"/>
    </row>
    <row r="59" ht="20" customHeight="1">
      <c r="B59" s="57"/>
      <c r="C59" s="58"/>
      <c r="D59" s="58"/>
      <c r="E59" s="58"/>
      <c r="F59" s="58"/>
      <c r="G59" s="58"/>
      <c r="H59" s="58"/>
      <c r="I59" s="58"/>
      <c r="J59" s="58"/>
      <c r="K59" s="58"/>
      <c r="L59" s="58"/>
      <c r="M59" s="58"/>
      <c r="N59" s="58"/>
      <c r="O59" s="58"/>
      <c r="P59" s="59"/>
      <c r="R59" s="57"/>
      <c r="S59" s="58"/>
      <c r="T59" s="58"/>
      <c r="U59" s="58"/>
      <c r="V59" s="58"/>
      <c r="W59" s="58"/>
      <c r="X59" s="58"/>
      <c r="Y59" s="58"/>
      <c r="Z59" s="58"/>
      <c r="AA59" s="58"/>
      <c r="AB59" s="58"/>
      <c r="AC59" s="58"/>
      <c r="AD59" s="58"/>
      <c r="AE59" s="58"/>
      <c r="AF59" s="59"/>
      <c r="AH59" s="57"/>
      <c r="AI59" s="58"/>
      <c r="AJ59" s="58"/>
      <c r="AK59" s="58"/>
      <c r="AL59" s="58"/>
      <c r="AM59" s="58"/>
      <c r="AN59" s="58"/>
      <c r="AO59" s="58"/>
      <c r="AP59" s="58"/>
      <c r="AQ59" s="58"/>
      <c r="AR59" s="58"/>
      <c r="AS59" s="58"/>
      <c r="AT59" s="58"/>
      <c r="AU59" s="58"/>
      <c r="AV59" s="59"/>
    </row>
    <row r="60" ht="20" customHeight="1">
      <c r="B60" s="57"/>
      <c r="C60" s="58"/>
      <c r="D60" s="58"/>
      <c r="E60" s="58"/>
      <c r="F60" s="58"/>
      <c r="G60" s="58"/>
      <c r="H60" s="58"/>
      <c r="I60" s="58"/>
      <c r="J60" s="58"/>
      <c r="K60" s="58"/>
      <c r="L60" s="58"/>
      <c r="M60" s="58"/>
      <c r="N60" s="58"/>
      <c r="O60" s="58"/>
      <c r="P60" s="59"/>
      <c r="R60" s="57"/>
      <c r="S60" s="58"/>
      <c r="T60" s="58"/>
      <c r="U60" s="58"/>
      <c r="V60" s="58"/>
      <c r="W60" s="58"/>
      <c r="X60" s="58"/>
      <c r="Y60" s="58"/>
      <c r="Z60" s="58"/>
      <c r="AA60" s="58"/>
      <c r="AB60" s="58"/>
      <c r="AC60" s="58"/>
      <c r="AD60" s="58"/>
      <c r="AE60" s="58"/>
      <c r="AF60" s="59"/>
      <c r="AH60" s="57"/>
      <c r="AI60" s="58"/>
      <c r="AJ60" s="58"/>
      <c r="AK60" s="58"/>
      <c r="AL60" s="58"/>
      <c r="AM60" s="58"/>
      <c r="AN60" s="58"/>
      <c r="AO60" s="58"/>
      <c r="AP60" s="58"/>
      <c r="AQ60" s="58"/>
      <c r="AR60" s="58"/>
      <c r="AS60" s="58"/>
      <c r="AT60" s="58"/>
      <c r="AU60" s="58"/>
      <c r="AV60" s="59"/>
    </row>
    <row r="61" ht="20" customHeight="1">
      <c r="B61" s="57"/>
      <c r="C61" s="58"/>
      <c r="D61" s="58"/>
      <c r="E61" s="58"/>
      <c r="F61" s="58"/>
      <c r="G61" s="58"/>
      <c r="H61" s="58"/>
      <c r="I61" s="58"/>
      <c r="J61" s="58"/>
      <c r="K61" s="58"/>
      <c r="L61" s="58"/>
      <c r="M61" s="58"/>
      <c r="N61" s="58"/>
      <c r="O61" s="58"/>
      <c r="P61" s="59"/>
      <c r="R61" s="57"/>
      <c r="S61" s="58"/>
      <c r="T61" s="58"/>
      <c r="U61" s="58"/>
      <c r="V61" s="58"/>
      <c r="W61" s="58"/>
      <c r="X61" s="58"/>
      <c r="Y61" s="58"/>
      <c r="Z61" s="58"/>
      <c r="AA61" s="58"/>
      <c r="AB61" s="58"/>
      <c r="AC61" s="58"/>
      <c r="AD61" s="58"/>
      <c r="AE61" s="58"/>
      <c r="AF61" s="59"/>
      <c r="AH61" s="57"/>
      <c r="AI61" s="58"/>
      <c r="AJ61" s="58"/>
      <c r="AK61" s="58"/>
      <c r="AL61" s="58"/>
      <c r="AM61" s="58"/>
      <c r="AN61" s="58"/>
      <c r="AO61" s="58"/>
      <c r="AP61" s="58"/>
      <c r="AQ61" s="58"/>
      <c r="AR61" s="58"/>
      <c r="AS61" s="58"/>
      <c r="AT61" s="58"/>
      <c r="AU61" s="58"/>
      <c r="AV61" s="59"/>
    </row>
    <row r="62" ht="20" customHeight="1">
      <c r="B62" s="57"/>
      <c r="C62" s="58"/>
      <c r="D62" s="58"/>
      <c r="E62" s="58"/>
      <c r="F62" s="58"/>
      <c r="G62" s="58"/>
      <c r="H62" s="58"/>
      <c r="I62" s="58"/>
      <c r="J62" s="58"/>
      <c r="K62" s="58"/>
      <c r="L62" s="58"/>
      <c r="M62" s="58"/>
      <c r="N62" s="58"/>
      <c r="O62" s="58"/>
      <c r="P62" s="59"/>
      <c r="R62" s="57"/>
      <c r="S62" s="58"/>
      <c r="T62" s="58"/>
      <c r="U62" s="58"/>
      <c r="V62" s="58"/>
      <c r="W62" s="58"/>
      <c r="X62" s="58"/>
      <c r="Y62" s="58"/>
      <c r="Z62" s="58"/>
      <c r="AA62" s="58"/>
      <c r="AB62" s="58"/>
      <c r="AC62" s="58"/>
      <c r="AD62" s="58"/>
      <c r="AE62" s="58"/>
      <c r="AF62" s="59"/>
      <c r="AH62" s="57"/>
      <c r="AI62" s="58"/>
      <c r="AJ62" s="58"/>
      <c r="AK62" s="58"/>
      <c r="AL62" s="58"/>
      <c r="AM62" s="58"/>
      <c r="AN62" s="58"/>
      <c r="AO62" s="58"/>
      <c r="AP62" s="58"/>
      <c r="AQ62" s="58"/>
      <c r="AR62" s="58"/>
      <c r="AS62" s="58"/>
      <c r="AT62" s="58"/>
      <c r="AU62" s="58"/>
      <c r="AV62" s="59"/>
    </row>
    <row r="63" ht="20" customHeight="1">
      <c r="B63" s="57"/>
      <c r="C63" s="58"/>
      <c r="D63" s="58"/>
      <c r="E63" s="58"/>
      <c r="F63" s="58"/>
      <c r="G63" s="58"/>
      <c r="H63" s="58"/>
      <c r="I63" s="58"/>
      <c r="J63" s="58"/>
      <c r="K63" s="58"/>
      <c r="L63" s="58"/>
      <c r="M63" s="58"/>
      <c r="N63" s="58"/>
      <c r="O63" s="58"/>
      <c r="P63" s="59"/>
      <c r="R63" s="57"/>
      <c r="S63" s="58"/>
      <c r="T63" s="58"/>
      <c r="U63" s="58"/>
      <c r="V63" s="58"/>
      <c r="W63" s="58"/>
      <c r="X63" s="58"/>
      <c r="Y63" s="58"/>
      <c r="Z63" s="58"/>
      <c r="AA63" s="58"/>
      <c r="AB63" s="58"/>
      <c r="AC63" s="58"/>
      <c r="AD63" s="58"/>
      <c r="AE63" s="58"/>
      <c r="AF63" s="59"/>
      <c r="AH63" s="57"/>
      <c r="AI63" s="58"/>
      <c r="AJ63" s="58"/>
      <c r="AK63" s="58"/>
      <c r="AL63" s="58"/>
      <c r="AM63" s="58"/>
      <c r="AN63" s="58"/>
      <c r="AO63" s="58"/>
      <c r="AP63" s="58"/>
      <c r="AQ63" s="58"/>
      <c r="AR63" s="58"/>
      <c r="AS63" s="58"/>
      <c r="AT63" s="58"/>
      <c r="AU63" s="58"/>
      <c r="AV63" s="59"/>
    </row>
    <row r="64" ht="20" customHeight="1">
      <c r="B64" s="57"/>
      <c r="C64" s="58"/>
      <c r="D64" s="58"/>
      <c r="E64" s="58"/>
      <c r="F64" s="58"/>
      <c r="G64" s="58"/>
      <c r="H64" s="58"/>
      <c r="I64" s="58"/>
      <c r="J64" s="58"/>
      <c r="K64" s="58"/>
      <c r="L64" s="58"/>
      <c r="M64" s="58"/>
      <c r="N64" s="58"/>
      <c r="O64" s="58"/>
      <c r="P64" s="59"/>
      <c r="R64" s="57"/>
      <c r="S64" s="58"/>
      <c r="T64" s="58"/>
      <c r="U64" s="58"/>
      <c r="V64" s="58"/>
      <c r="W64" s="58"/>
      <c r="X64" s="58"/>
      <c r="Y64" s="58"/>
      <c r="Z64" s="58"/>
      <c r="AA64" s="58"/>
      <c r="AB64" s="58"/>
      <c r="AC64" s="58"/>
      <c r="AD64" s="58"/>
      <c r="AE64" s="58"/>
      <c r="AF64" s="59"/>
      <c r="AH64" s="57"/>
      <c r="AI64" s="58"/>
      <c r="AJ64" s="58"/>
      <c r="AK64" s="58"/>
      <c r="AL64" s="58"/>
      <c r="AM64" s="58"/>
      <c r="AN64" s="58"/>
      <c r="AO64" s="58"/>
      <c r="AP64" s="58"/>
      <c r="AQ64" s="58"/>
      <c r="AR64" s="58"/>
      <c r="AS64" s="58"/>
      <c r="AT64" s="58"/>
      <c r="AU64" s="58"/>
      <c r="AV64" s="59"/>
    </row>
    <row r="65" ht="20" customHeight="1">
      <c r="B65" s="57"/>
      <c r="C65" s="58"/>
      <c r="D65" s="58"/>
      <c r="E65" s="58"/>
      <c r="F65" s="58"/>
      <c r="G65" s="58"/>
      <c r="H65" s="58"/>
      <c r="I65" s="58"/>
      <c r="J65" s="58"/>
      <c r="K65" s="58"/>
      <c r="L65" s="58"/>
      <c r="M65" s="58"/>
      <c r="N65" s="58"/>
      <c r="O65" s="58"/>
      <c r="P65" s="59"/>
      <c r="R65" s="57"/>
      <c r="S65" s="58"/>
      <c r="T65" s="58"/>
      <c r="U65" s="58"/>
      <c r="V65" s="58"/>
      <c r="W65" s="58"/>
      <c r="X65" s="58"/>
      <c r="Y65" s="58"/>
      <c r="Z65" s="58"/>
      <c r="AA65" s="58"/>
      <c r="AB65" s="58"/>
      <c r="AC65" s="58"/>
      <c r="AD65" s="58"/>
      <c r="AE65" s="58"/>
      <c r="AF65" s="59"/>
      <c r="AH65" s="57"/>
      <c r="AI65" s="58"/>
      <c r="AJ65" s="58"/>
      <c r="AK65" s="58"/>
      <c r="AL65" s="58"/>
      <c r="AM65" s="58"/>
      <c r="AN65" s="58"/>
      <c r="AO65" s="58"/>
      <c r="AP65" s="58"/>
      <c r="AQ65" s="58"/>
      <c r="AR65" s="58"/>
      <c r="AS65" s="58"/>
      <c r="AT65" s="58"/>
      <c r="AU65" s="58"/>
      <c r="AV65" s="59"/>
    </row>
    <row r="66" ht="20" customHeight="1">
      <c r="B66" s="57"/>
      <c r="C66" s="58"/>
      <c r="D66" s="58"/>
      <c r="E66" s="58"/>
      <c r="F66" s="58"/>
      <c r="G66" s="58"/>
      <c r="H66" s="58"/>
      <c r="I66" s="58"/>
      <c r="J66" s="58"/>
      <c r="K66" s="58"/>
      <c r="L66" s="58"/>
      <c r="M66" s="58"/>
      <c r="N66" s="58"/>
      <c r="O66" s="58"/>
      <c r="P66" s="59"/>
      <c r="R66" s="57"/>
      <c r="S66" s="58"/>
      <c r="T66" s="58"/>
      <c r="U66" s="58"/>
      <c r="V66" s="58"/>
      <c r="W66" s="58"/>
      <c r="X66" s="58"/>
      <c r="Y66" s="58"/>
      <c r="Z66" s="58"/>
      <c r="AA66" s="58"/>
      <c r="AB66" s="58"/>
      <c r="AC66" s="58"/>
      <c r="AD66" s="58"/>
      <c r="AE66" s="58"/>
      <c r="AF66" s="59"/>
      <c r="AH66" s="57"/>
      <c r="AI66" s="58"/>
      <c r="AJ66" s="58"/>
      <c r="AK66" s="58"/>
      <c r="AL66" s="58"/>
      <c r="AM66" s="58"/>
      <c r="AN66" s="58"/>
      <c r="AO66" s="58"/>
      <c r="AP66" s="58"/>
      <c r="AQ66" s="58"/>
      <c r="AR66" s="58"/>
      <c r="AS66" s="58"/>
      <c r="AT66" s="58"/>
      <c r="AU66" s="58"/>
      <c r="AV66" s="59"/>
    </row>
    <row r="67" ht="20" customHeight="1">
      <c r="B67" s="57"/>
      <c r="C67" s="58"/>
      <c r="D67" s="58"/>
      <c r="E67" s="58"/>
      <c r="F67" s="58"/>
      <c r="G67" s="58"/>
      <c r="H67" s="58"/>
      <c r="I67" s="58"/>
      <c r="J67" s="58"/>
      <c r="K67" s="58"/>
      <c r="L67" s="58"/>
      <c r="M67" s="58"/>
      <c r="N67" s="58"/>
      <c r="O67" s="58"/>
      <c r="P67" s="59"/>
      <c r="R67" s="57"/>
      <c r="S67" s="58"/>
      <c r="T67" s="58"/>
      <c r="U67" s="58"/>
      <c r="V67" s="58"/>
      <c r="W67" s="58"/>
      <c r="X67" s="58"/>
      <c r="Y67" s="58"/>
      <c r="Z67" s="58"/>
      <c r="AA67" s="58"/>
      <c r="AB67" s="58"/>
      <c r="AC67" s="58"/>
      <c r="AD67" s="58"/>
      <c r="AE67" s="58"/>
      <c r="AF67" s="59"/>
      <c r="AH67" s="57"/>
      <c r="AI67" s="58"/>
      <c r="AJ67" s="58"/>
      <c r="AK67" s="58"/>
      <c r="AL67" s="58"/>
      <c r="AM67" s="58"/>
      <c r="AN67" s="58"/>
      <c r="AO67" s="58"/>
      <c r="AP67" s="58"/>
      <c r="AQ67" s="58"/>
      <c r="AR67" s="58"/>
      <c r="AS67" s="58"/>
      <c r="AT67" s="58"/>
      <c r="AU67" s="58"/>
      <c r="AV67" s="59"/>
    </row>
    <row r="68" ht="20" customHeight="1">
      <c r="B68" s="57"/>
      <c r="C68" s="58"/>
      <c r="D68" s="58"/>
      <c r="E68" s="58"/>
      <c r="F68" s="58"/>
      <c r="G68" s="58"/>
      <c r="H68" s="58"/>
      <c r="I68" s="58"/>
      <c r="J68" s="58"/>
      <c r="K68" s="58"/>
      <c r="L68" s="58"/>
      <c r="M68" s="58"/>
      <c r="N68" s="58"/>
      <c r="O68" s="58"/>
      <c r="P68" s="59"/>
      <c r="R68" s="57"/>
      <c r="S68" s="58"/>
      <c r="T68" s="58"/>
      <c r="U68" s="58"/>
      <c r="V68" s="58"/>
      <c r="W68" s="58"/>
      <c r="X68" s="58"/>
      <c r="Y68" s="58"/>
      <c r="Z68" s="58"/>
      <c r="AA68" s="58"/>
      <c r="AB68" s="58"/>
      <c r="AC68" s="58"/>
      <c r="AD68" s="58"/>
      <c r="AE68" s="58"/>
      <c r="AF68" s="59"/>
      <c r="AH68" s="57"/>
      <c r="AI68" s="58"/>
      <c r="AJ68" s="58"/>
      <c r="AK68" s="58"/>
      <c r="AL68" s="58"/>
      <c r="AM68" s="58"/>
      <c r="AN68" s="58"/>
      <c r="AO68" s="58"/>
      <c r="AP68" s="58"/>
      <c r="AQ68" s="58"/>
      <c r="AR68" s="58"/>
      <c r="AS68" s="58"/>
      <c r="AT68" s="58"/>
      <c r="AU68" s="58"/>
      <c r="AV68" s="59"/>
    </row>
    <row r="69" ht="20" customHeight="1">
      <c r="B69" s="57"/>
      <c r="C69" s="58"/>
      <c r="D69" s="58"/>
      <c r="E69" s="58"/>
      <c r="F69" s="58"/>
      <c r="G69" s="58"/>
      <c r="H69" s="58"/>
      <c r="I69" s="58"/>
      <c r="J69" s="58"/>
      <c r="K69" s="58"/>
      <c r="L69" s="58"/>
      <c r="M69" s="58"/>
      <c r="N69" s="58"/>
      <c r="O69" s="58"/>
      <c r="P69" s="59"/>
      <c r="R69" s="57"/>
      <c r="S69" s="58"/>
      <c r="T69" s="58"/>
      <c r="U69" s="58"/>
      <c r="V69" s="58"/>
      <c r="W69" s="58"/>
      <c r="X69" s="58"/>
      <c r="Y69" s="58"/>
      <c r="Z69" s="58"/>
      <c r="AA69" s="58"/>
      <c r="AB69" s="58"/>
      <c r="AC69" s="58"/>
      <c r="AD69" s="58"/>
      <c r="AE69" s="58"/>
      <c r="AF69" s="59"/>
      <c r="AH69" s="57"/>
      <c r="AI69" s="58"/>
      <c r="AJ69" s="58"/>
      <c r="AK69" s="58"/>
      <c r="AL69" s="58"/>
      <c r="AM69" s="58"/>
      <c r="AN69" s="58"/>
      <c r="AO69" s="58"/>
      <c r="AP69" s="58"/>
      <c r="AQ69" s="58"/>
      <c r="AR69" s="58"/>
      <c r="AS69" s="58"/>
      <c r="AT69" s="58"/>
      <c r="AU69" s="58"/>
      <c r="AV69" s="59"/>
    </row>
    <row r="70" ht="6" customHeight="1">
      <c r="B70" s="60"/>
      <c r="C70" s="61"/>
      <c r="D70" s="61"/>
      <c r="E70" s="61"/>
      <c r="F70" s="61"/>
      <c r="G70" s="61"/>
      <c r="H70" s="61"/>
      <c r="I70" s="61"/>
      <c r="J70" s="61"/>
      <c r="K70" s="61"/>
      <c r="L70" s="61"/>
      <c r="M70" s="61"/>
      <c r="N70" s="61"/>
      <c r="O70" s="61"/>
      <c r="P70" s="62"/>
      <c r="R70" s="60"/>
      <c r="S70" s="61"/>
      <c r="T70" s="61"/>
      <c r="U70" s="61"/>
      <c r="V70" s="61"/>
      <c r="W70" s="61"/>
      <c r="X70" s="61"/>
      <c r="Y70" s="61"/>
      <c r="Z70" s="61"/>
      <c r="AA70" s="61"/>
      <c r="AB70" s="61"/>
      <c r="AC70" s="61"/>
      <c r="AD70" s="61"/>
      <c r="AE70" s="61"/>
      <c r="AF70" s="62"/>
      <c r="AH70" s="60"/>
      <c r="AI70" s="61"/>
      <c r="AJ70" s="61"/>
      <c r="AK70" s="61"/>
      <c r="AL70" s="61"/>
      <c r="AM70" s="61"/>
      <c r="AN70" s="61"/>
      <c r="AO70" s="61"/>
      <c r="AP70" s="61"/>
      <c r="AQ70" s="61"/>
      <c r="AR70" s="61"/>
      <c r="AS70" s="61"/>
      <c r="AT70" s="61"/>
      <c r="AU70" s="61"/>
      <c r="AV70" s="62"/>
    </row>
    <row r="71" ht="12" customHeight="1"/>
    <row r="72" ht="22" customHeight="1">
      <c r="B72" s="52" t="inlineStr">
        <is>
          <t xml:space="preserve">ADDITIONAL INSIGHTS</t>
        </is>
      </c>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row>
    <row r="73" ht="24" customHeight="1">
      <c r="B73" s="84" t="inlineStr">
        <is>
          <t xml:space="preserve">Total Sales by Outlet Type</t>
        </is>
      </c>
      <c r="C73" s="85"/>
      <c r="D73" s="85"/>
      <c r="E73" s="85"/>
      <c r="F73" s="85"/>
      <c r="G73" s="85"/>
      <c r="H73" s="85"/>
      <c r="I73" s="85"/>
      <c r="J73" s="85"/>
      <c r="K73" s="85"/>
      <c r="L73" s="85"/>
      <c r="M73" s="85"/>
      <c r="N73" s="85"/>
      <c r="O73" s="85"/>
      <c r="P73" s="86"/>
      <c r="R73" s="84" t="inlineStr">
        <is>
          <t xml:space="preserve">Average Sales per Item by Outlet Type</t>
        </is>
      </c>
      <c r="S73" s="85"/>
      <c r="T73" s="85"/>
      <c r="U73" s="85"/>
      <c r="V73" s="85"/>
      <c r="W73" s="85"/>
      <c r="X73" s="85"/>
      <c r="Y73" s="85"/>
      <c r="Z73" s="85"/>
      <c r="AA73" s="85"/>
      <c r="AB73" s="85"/>
      <c r="AC73" s="85"/>
      <c r="AD73" s="85"/>
      <c r="AE73" s="85"/>
      <c r="AF73" s="86"/>
      <c r="AH73" s="84" t="inlineStr">
        <is>
          <t xml:space="preserve">Item Count by Outlet Type</t>
        </is>
      </c>
      <c r="AI73" s="85"/>
      <c r="AJ73" s="85"/>
      <c r="AK73" s="85"/>
      <c r="AL73" s="85"/>
      <c r="AM73" s="85"/>
      <c r="AN73" s="85"/>
      <c r="AO73" s="85"/>
      <c r="AP73" s="85"/>
      <c r="AQ73" s="85"/>
      <c r="AR73" s="85"/>
      <c r="AS73" s="85"/>
      <c r="AT73" s="85"/>
      <c r="AU73" s="85"/>
      <c r="AV73" s="86"/>
    </row>
    <row r="74" ht="20" customHeight="1">
      <c r="B74" s="57"/>
      <c r="C74" s="58"/>
      <c r="D74" s="58"/>
      <c r="E74" s="58"/>
      <c r="F74" s="58"/>
      <c r="G74" s="58"/>
      <c r="H74" s="58"/>
      <c r="I74" s="58"/>
      <c r="J74" s="58"/>
      <c r="K74" s="58"/>
      <c r="L74" s="58"/>
      <c r="M74" s="58"/>
      <c r="N74" s="58"/>
      <c r="O74" s="58"/>
      <c r="P74" s="59"/>
      <c r="R74" s="57"/>
      <c r="S74" s="58"/>
      <c r="T74" s="58"/>
      <c r="U74" s="58"/>
      <c r="V74" s="58"/>
      <c r="W74" s="58"/>
      <c r="X74" s="58"/>
      <c r="Y74" s="58"/>
      <c r="Z74" s="58"/>
      <c r="AA74" s="58"/>
      <c r="AB74" s="58"/>
      <c r="AC74" s="58"/>
      <c r="AD74" s="58"/>
      <c r="AE74" s="58"/>
      <c r="AF74" s="59"/>
      <c r="AH74" s="57"/>
      <c r="AI74" s="58"/>
      <c r="AJ74" s="58"/>
      <c r="AK74" s="58"/>
      <c r="AL74" s="58"/>
      <c r="AM74" s="58"/>
      <c r="AN74" s="58"/>
      <c r="AO74" s="58"/>
      <c r="AP74" s="58"/>
      <c r="AQ74" s="58"/>
      <c r="AR74" s="58"/>
      <c r="AS74" s="58"/>
      <c r="AT74" s="58"/>
      <c r="AU74" s="58"/>
      <c r="AV74" s="59"/>
    </row>
    <row r="75" ht="20" customHeight="1">
      <c r="B75" s="57"/>
      <c r="C75" s="58"/>
      <c r="D75" s="58"/>
      <c r="E75" s="58"/>
      <c r="F75" s="58"/>
      <c r="G75" s="58"/>
      <c r="H75" s="58"/>
      <c r="I75" s="58"/>
      <c r="J75" s="58"/>
      <c r="K75" s="58"/>
      <c r="L75" s="58"/>
      <c r="M75" s="58"/>
      <c r="N75" s="58"/>
      <c r="O75" s="58"/>
      <c r="P75" s="59"/>
      <c r="R75" s="57"/>
      <c r="S75" s="58"/>
      <c r="T75" s="58"/>
      <c r="U75" s="58"/>
      <c r="V75" s="58"/>
      <c r="W75" s="58"/>
      <c r="X75" s="58"/>
      <c r="Y75" s="58"/>
      <c r="Z75" s="58"/>
      <c r="AA75" s="58"/>
      <c r="AB75" s="58"/>
      <c r="AC75" s="58"/>
      <c r="AD75" s="58"/>
      <c r="AE75" s="58"/>
      <c r="AF75" s="59"/>
      <c r="AH75" s="57"/>
      <c r="AI75" s="58"/>
      <c r="AJ75" s="58"/>
      <c r="AK75" s="58"/>
      <c r="AL75" s="58"/>
      <c r="AM75" s="58"/>
      <c r="AN75" s="58"/>
      <c r="AO75" s="58"/>
      <c r="AP75" s="58"/>
      <c r="AQ75" s="58"/>
      <c r="AR75" s="58"/>
      <c r="AS75" s="58"/>
      <c r="AT75" s="58"/>
      <c r="AU75" s="58"/>
      <c r="AV75" s="59"/>
    </row>
    <row r="76" ht="20" customHeight="1">
      <c r="B76" s="57"/>
      <c r="C76" s="58"/>
      <c r="D76" s="58"/>
      <c r="E76" s="58"/>
      <c r="F76" s="58"/>
      <c r="G76" s="58"/>
      <c r="H76" s="58"/>
      <c r="I76" s="58"/>
      <c r="J76" s="58"/>
      <c r="K76" s="58"/>
      <c r="L76" s="58"/>
      <c r="M76" s="58"/>
      <c r="N76" s="58"/>
      <c r="O76" s="58"/>
      <c r="P76" s="59"/>
      <c r="R76" s="57"/>
      <c r="S76" s="58"/>
      <c r="T76" s="58"/>
      <c r="U76" s="58"/>
      <c r="V76" s="58"/>
      <c r="W76" s="58"/>
      <c r="X76" s="58"/>
      <c r="Y76" s="58"/>
      <c r="Z76" s="58"/>
      <c r="AA76" s="58"/>
      <c r="AB76" s="58"/>
      <c r="AC76" s="58"/>
      <c r="AD76" s="58"/>
      <c r="AE76" s="58"/>
      <c r="AF76" s="59"/>
      <c r="AH76" s="57"/>
      <c r="AI76" s="58"/>
      <c r="AJ76" s="58"/>
      <c r="AK76" s="58"/>
      <c r="AL76" s="58"/>
      <c r="AM76" s="58"/>
      <c r="AN76" s="58"/>
      <c r="AO76" s="58"/>
      <c r="AP76" s="58"/>
      <c r="AQ76" s="58"/>
      <c r="AR76" s="58"/>
      <c r="AS76" s="58"/>
      <c r="AT76" s="58"/>
      <c r="AU76" s="58"/>
      <c r="AV76" s="59"/>
    </row>
    <row r="77" ht="20" customHeight="1">
      <c r="B77" s="57"/>
      <c r="C77" s="58"/>
      <c r="D77" s="58"/>
      <c r="E77" s="58"/>
      <c r="F77" s="58"/>
      <c r="G77" s="58"/>
      <c r="H77" s="58"/>
      <c r="I77" s="58"/>
      <c r="J77" s="58"/>
      <c r="K77" s="58"/>
      <c r="L77" s="58"/>
      <c r="M77" s="58"/>
      <c r="N77" s="58"/>
      <c r="O77" s="58"/>
      <c r="P77" s="59"/>
      <c r="R77" s="57"/>
      <c r="S77" s="58"/>
      <c r="T77" s="58"/>
      <c r="U77" s="58"/>
      <c r="V77" s="58"/>
      <c r="W77" s="58"/>
      <c r="X77" s="58"/>
      <c r="Y77" s="58"/>
      <c r="Z77" s="58"/>
      <c r="AA77" s="58"/>
      <c r="AB77" s="58"/>
      <c r="AC77" s="58"/>
      <c r="AD77" s="58"/>
      <c r="AE77" s="58"/>
      <c r="AF77" s="59"/>
      <c r="AH77" s="57"/>
      <c r="AI77" s="58"/>
      <c r="AJ77" s="58"/>
      <c r="AK77" s="58"/>
      <c r="AL77" s="58"/>
      <c r="AM77" s="58"/>
      <c r="AN77" s="58"/>
      <c r="AO77" s="58"/>
      <c r="AP77" s="58"/>
      <c r="AQ77" s="58"/>
      <c r="AR77" s="58"/>
      <c r="AS77" s="58"/>
      <c r="AT77" s="58"/>
      <c r="AU77" s="58"/>
      <c r="AV77" s="59"/>
    </row>
    <row r="78" ht="20" customHeight="1">
      <c r="B78" s="57"/>
      <c r="C78" s="58"/>
      <c r="D78" s="58"/>
      <c r="E78" s="58"/>
      <c r="F78" s="58"/>
      <c r="G78" s="58"/>
      <c r="H78" s="58"/>
      <c r="I78" s="58"/>
      <c r="J78" s="58"/>
      <c r="K78" s="58"/>
      <c r="L78" s="58"/>
      <c r="M78" s="58"/>
      <c r="N78" s="58"/>
      <c r="O78" s="58"/>
      <c r="P78" s="59"/>
      <c r="R78" s="57"/>
      <c r="S78" s="58"/>
      <c r="T78" s="58"/>
      <c r="U78" s="58"/>
      <c r="V78" s="58"/>
      <c r="W78" s="58"/>
      <c r="X78" s="58"/>
      <c r="Y78" s="58"/>
      <c r="Z78" s="58"/>
      <c r="AA78" s="58"/>
      <c r="AB78" s="58"/>
      <c r="AC78" s="58"/>
      <c r="AD78" s="58"/>
      <c r="AE78" s="58"/>
      <c r="AF78" s="59"/>
      <c r="AH78" s="57"/>
      <c r="AI78" s="58"/>
      <c r="AJ78" s="58"/>
      <c r="AK78" s="58"/>
      <c r="AL78" s="58"/>
      <c r="AM78" s="58"/>
      <c r="AN78" s="58"/>
      <c r="AO78" s="58"/>
      <c r="AP78" s="58"/>
      <c r="AQ78" s="58"/>
      <c r="AR78" s="58"/>
      <c r="AS78" s="58"/>
      <c r="AT78" s="58"/>
      <c r="AU78" s="58"/>
      <c r="AV78" s="59"/>
    </row>
    <row r="79" ht="20" customHeight="1">
      <c r="B79" s="57"/>
      <c r="C79" s="58"/>
      <c r="D79" s="58"/>
      <c r="E79" s="58"/>
      <c r="F79" s="58"/>
      <c r="G79" s="58"/>
      <c r="H79" s="58"/>
      <c r="I79" s="58"/>
      <c r="J79" s="58"/>
      <c r="K79" s="58"/>
      <c r="L79" s="58"/>
      <c r="M79" s="58"/>
      <c r="N79" s="58"/>
      <c r="O79" s="58"/>
      <c r="P79" s="59"/>
      <c r="R79" s="57"/>
      <c r="S79" s="58"/>
      <c r="T79" s="58"/>
      <c r="U79" s="58"/>
      <c r="V79" s="58"/>
      <c r="W79" s="58"/>
      <c r="X79" s="58"/>
      <c r="Y79" s="58"/>
      <c r="Z79" s="58"/>
      <c r="AA79" s="58"/>
      <c r="AB79" s="58"/>
      <c r="AC79" s="58"/>
      <c r="AD79" s="58"/>
      <c r="AE79" s="58"/>
      <c r="AF79" s="59"/>
      <c r="AH79" s="57"/>
      <c r="AI79" s="58"/>
      <c r="AJ79" s="58"/>
      <c r="AK79" s="58"/>
      <c r="AL79" s="58"/>
      <c r="AM79" s="58"/>
      <c r="AN79" s="58"/>
      <c r="AO79" s="58"/>
      <c r="AP79" s="58"/>
      <c r="AQ79" s="58"/>
      <c r="AR79" s="58"/>
      <c r="AS79" s="58"/>
      <c r="AT79" s="58"/>
      <c r="AU79" s="58"/>
      <c r="AV79" s="59"/>
    </row>
    <row r="80" ht="20" customHeight="1">
      <c r="B80" s="57"/>
      <c r="C80" s="58"/>
      <c r="D80" s="58"/>
      <c r="E80" s="58"/>
      <c r="F80" s="58"/>
      <c r="G80" s="58"/>
      <c r="H80" s="58"/>
      <c r="I80" s="58"/>
      <c r="J80" s="58"/>
      <c r="K80" s="58"/>
      <c r="L80" s="58"/>
      <c r="M80" s="58"/>
      <c r="N80" s="58"/>
      <c r="O80" s="58"/>
      <c r="P80" s="59"/>
      <c r="R80" s="57"/>
      <c r="S80" s="58"/>
      <c r="T80" s="58"/>
      <c r="U80" s="58"/>
      <c r="V80" s="58"/>
      <c r="W80" s="58"/>
      <c r="X80" s="58"/>
      <c r="Y80" s="58"/>
      <c r="Z80" s="58"/>
      <c r="AA80" s="58"/>
      <c r="AB80" s="58"/>
      <c r="AC80" s="58"/>
      <c r="AD80" s="58"/>
      <c r="AE80" s="58"/>
      <c r="AF80" s="59"/>
      <c r="AH80" s="57"/>
      <c r="AI80" s="58"/>
      <c r="AJ80" s="58"/>
      <c r="AK80" s="58"/>
      <c r="AL80" s="58"/>
      <c r="AM80" s="58"/>
      <c r="AN80" s="58"/>
      <c r="AO80" s="58"/>
      <c r="AP80" s="58"/>
      <c r="AQ80" s="58"/>
      <c r="AR80" s="58"/>
      <c r="AS80" s="58"/>
      <c r="AT80" s="58"/>
      <c r="AU80" s="58"/>
      <c r="AV80" s="59"/>
    </row>
    <row r="81" ht="20" customHeight="1">
      <c r="B81" s="57"/>
      <c r="C81" s="58"/>
      <c r="D81" s="58"/>
      <c r="E81" s="58"/>
      <c r="F81" s="58"/>
      <c r="G81" s="58"/>
      <c r="H81" s="58"/>
      <c r="I81" s="58"/>
      <c r="J81" s="58"/>
      <c r="K81" s="58"/>
      <c r="L81" s="58"/>
      <c r="M81" s="58"/>
      <c r="N81" s="58"/>
      <c r="O81" s="58"/>
      <c r="P81" s="59"/>
      <c r="R81" s="57"/>
      <c r="S81" s="58"/>
      <c r="T81" s="58"/>
      <c r="U81" s="58"/>
      <c r="V81" s="58"/>
      <c r="W81" s="58"/>
      <c r="X81" s="58"/>
      <c r="Y81" s="58"/>
      <c r="Z81" s="58"/>
      <c r="AA81" s="58"/>
      <c r="AB81" s="58"/>
      <c r="AC81" s="58"/>
      <c r="AD81" s="58"/>
      <c r="AE81" s="58"/>
      <c r="AF81" s="59"/>
      <c r="AH81" s="57"/>
      <c r="AI81" s="58"/>
      <c r="AJ81" s="58"/>
      <c r="AK81" s="58"/>
      <c r="AL81" s="58"/>
      <c r="AM81" s="58"/>
      <c r="AN81" s="58"/>
      <c r="AO81" s="58"/>
      <c r="AP81" s="58"/>
      <c r="AQ81" s="58"/>
      <c r="AR81" s="58"/>
      <c r="AS81" s="58"/>
      <c r="AT81" s="58"/>
      <c r="AU81" s="58"/>
      <c r="AV81" s="59"/>
    </row>
    <row r="82" ht="20" customHeight="1">
      <c r="B82" s="57"/>
      <c r="C82" s="58"/>
      <c r="D82" s="58"/>
      <c r="E82" s="58"/>
      <c r="F82" s="58"/>
      <c r="G82" s="58"/>
      <c r="H82" s="58"/>
      <c r="I82" s="58"/>
      <c r="J82" s="58"/>
      <c r="K82" s="58"/>
      <c r="L82" s="58"/>
      <c r="M82" s="58"/>
      <c r="N82" s="58"/>
      <c r="O82" s="58"/>
      <c r="P82" s="59"/>
      <c r="R82" s="57"/>
      <c r="S82" s="58"/>
      <c r="T82" s="58"/>
      <c r="U82" s="58"/>
      <c r="V82" s="58"/>
      <c r="W82" s="58"/>
      <c r="X82" s="58"/>
      <c r="Y82" s="58"/>
      <c r="Z82" s="58"/>
      <c r="AA82" s="58"/>
      <c r="AB82" s="58"/>
      <c r="AC82" s="58"/>
      <c r="AD82" s="58"/>
      <c r="AE82" s="58"/>
      <c r="AF82" s="59"/>
      <c r="AH82" s="57"/>
      <c r="AI82" s="58"/>
      <c r="AJ82" s="58"/>
      <c r="AK82" s="58"/>
      <c r="AL82" s="58"/>
      <c r="AM82" s="58"/>
      <c r="AN82" s="58"/>
      <c r="AO82" s="58"/>
      <c r="AP82" s="58"/>
      <c r="AQ82" s="58"/>
      <c r="AR82" s="58"/>
      <c r="AS82" s="58"/>
      <c r="AT82" s="58"/>
      <c r="AU82" s="58"/>
      <c r="AV82" s="59"/>
    </row>
    <row r="83" ht="20" customHeight="1">
      <c r="B83" s="57"/>
      <c r="C83" s="58"/>
      <c r="D83" s="58"/>
      <c r="E83" s="58"/>
      <c r="F83" s="58"/>
      <c r="G83" s="58"/>
      <c r="H83" s="58"/>
      <c r="I83" s="58"/>
      <c r="J83" s="58"/>
      <c r="K83" s="58"/>
      <c r="L83" s="58"/>
      <c r="M83" s="58"/>
      <c r="N83" s="58"/>
      <c r="O83" s="58"/>
      <c r="P83" s="59"/>
      <c r="R83" s="57"/>
      <c r="S83" s="58"/>
      <c r="T83" s="58"/>
      <c r="U83" s="58"/>
      <c r="V83" s="58"/>
      <c r="W83" s="58"/>
      <c r="X83" s="58"/>
      <c r="Y83" s="58"/>
      <c r="Z83" s="58"/>
      <c r="AA83" s="58"/>
      <c r="AB83" s="58"/>
      <c r="AC83" s="58"/>
      <c r="AD83" s="58"/>
      <c r="AE83" s="58"/>
      <c r="AF83" s="59"/>
      <c r="AH83" s="57"/>
      <c r="AI83" s="58"/>
      <c r="AJ83" s="58"/>
      <c r="AK83" s="58"/>
      <c r="AL83" s="58"/>
      <c r="AM83" s="58"/>
      <c r="AN83" s="58"/>
      <c r="AO83" s="58"/>
      <c r="AP83" s="58"/>
      <c r="AQ83" s="58"/>
      <c r="AR83" s="58"/>
      <c r="AS83" s="58"/>
      <c r="AT83" s="58"/>
      <c r="AU83" s="58"/>
      <c r="AV83" s="59"/>
    </row>
    <row r="84" ht="20" customHeight="1">
      <c r="B84" s="57"/>
      <c r="C84" s="58"/>
      <c r="D84" s="58"/>
      <c r="E84" s="58"/>
      <c r="F84" s="58"/>
      <c r="G84" s="58"/>
      <c r="H84" s="58"/>
      <c r="I84" s="58"/>
      <c r="J84" s="58"/>
      <c r="K84" s="58"/>
      <c r="L84" s="58"/>
      <c r="M84" s="58"/>
      <c r="N84" s="58"/>
      <c r="O84" s="58"/>
      <c r="P84" s="59"/>
      <c r="R84" s="57"/>
      <c r="S84" s="58"/>
      <c r="T84" s="58"/>
      <c r="U84" s="58"/>
      <c r="V84" s="58"/>
      <c r="W84" s="58"/>
      <c r="X84" s="58"/>
      <c r="Y84" s="58"/>
      <c r="Z84" s="58"/>
      <c r="AA84" s="58"/>
      <c r="AB84" s="58"/>
      <c r="AC84" s="58"/>
      <c r="AD84" s="58"/>
      <c r="AE84" s="58"/>
      <c r="AF84" s="59"/>
      <c r="AH84" s="57"/>
      <c r="AI84" s="58"/>
      <c r="AJ84" s="58"/>
      <c r="AK84" s="58"/>
      <c r="AL84" s="58"/>
      <c r="AM84" s="58"/>
      <c r="AN84" s="58"/>
      <c r="AO84" s="58"/>
      <c r="AP84" s="58"/>
      <c r="AQ84" s="58"/>
      <c r="AR84" s="58"/>
      <c r="AS84" s="58"/>
      <c r="AT84" s="58"/>
      <c r="AU84" s="58"/>
      <c r="AV84" s="59"/>
    </row>
    <row r="85" ht="20" customHeight="1">
      <c r="B85" s="57"/>
      <c r="C85" s="58"/>
      <c r="D85" s="58"/>
      <c r="E85" s="58"/>
      <c r="F85" s="58"/>
      <c r="G85" s="58"/>
      <c r="H85" s="58"/>
      <c r="I85" s="58"/>
      <c r="J85" s="58"/>
      <c r="K85" s="58"/>
      <c r="L85" s="58"/>
      <c r="M85" s="58"/>
      <c r="N85" s="58"/>
      <c r="O85" s="58"/>
      <c r="P85" s="59"/>
      <c r="R85" s="57"/>
      <c r="S85" s="58"/>
      <c r="T85" s="58"/>
      <c r="U85" s="58"/>
      <c r="V85" s="58"/>
      <c r="W85" s="58"/>
      <c r="X85" s="58"/>
      <c r="Y85" s="58"/>
      <c r="Z85" s="58"/>
      <c r="AA85" s="58"/>
      <c r="AB85" s="58"/>
      <c r="AC85" s="58"/>
      <c r="AD85" s="58"/>
      <c r="AE85" s="58"/>
      <c r="AF85" s="59"/>
      <c r="AH85" s="57"/>
      <c r="AI85" s="58"/>
      <c r="AJ85" s="58"/>
      <c r="AK85" s="58"/>
      <c r="AL85" s="58"/>
      <c r="AM85" s="58"/>
      <c r="AN85" s="58"/>
      <c r="AO85" s="58"/>
      <c r="AP85" s="58"/>
      <c r="AQ85" s="58"/>
      <c r="AR85" s="58"/>
      <c r="AS85" s="58"/>
      <c r="AT85" s="58"/>
      <c r="AU85" s="58"/>
      <c r="AV85" s="59"/>
    </row>
    <row r="86" ht="6" customHeight="1">
      <c r="B86" s="60"/>
      <c r="C86" s="61"/>
      <c r="D86" s="61"/>
      <c r="E86" s="61"/>
      <c r="F86" s="61"/>
      <c r="G86" s="61"/>
      <c r="H86" s="61"/>
      <c r="I86" s="61"/>
      <c r="J86" s="61"/>
      <c r="K86" s="61"/>
      <c r="L86" s="61"/>
      <c r="M86" s="61"/>
      <c r="N86" s="61"/>
      <c r="O86" s="61"/>
      <c r="P86" s="62"/>
      <c r="R86" s="60"/>
      <c r="S86" s="61"/>
      <c r="T86" s="61"/>
      <c r="U86" s="61"/>
      <c r="V86" s="61"/>
      <c r="W86" s="61"/>
      <c r="X86" s="61"/>
      <c r="Y86" s="61"/>
      <c r="Z86" s="61"/>
      <c r="AA86" s="61"/>
      <c r="AB86" s="61"/>
      <c r="AC86" s="61"/>
      <c r="AD86" s="61"/>
      <c r="AE86" s="61"/>
      <c r="AF86" s="62"/>
      <c r="AH86" s="60"/>
      <c r="AI86" s="61"/>
      <c r="AJ86" s="61"/>
      <c r="AK86" s="61"/>
      <c r="AL86" s="61"/>
      <c r="AM86" s="61"/>
      <c r="AN86" s="61"/>
      <c r="AO86" s="61"/>
      <c r="AP86" s="61"/>
      <c r="AQ86" s="61"/>
      <c r="AR86" s="61"/>
      <c r="AS86" s="61"/>
      <c r="AT86" s="61"/>
      <c r="AU86" s="61"/>
      <c r="AV86" s="62"/>
    </row>
    <row r="87" ht="12" customHeight="1"/>
    <row r="88" ht="26" customHeight="1">
      <c r="C88" s="87" t="inlineStr">
        <is>
          <t xml:space="preserve">Open Dashboard Analysis: PivotTables and KPI support data</t>
        </is>
      </c>
    </row>
    <row r="89" ht="26" customHeight="1">
      <c r="C89" s="87" t="inlineStr">
        <is>
          <t xml:space="preserve">Open 'BlinkIT Grocery Data': source table (8,523 records)</t>
        </is>
      </c>
    </row>
    <row r="90" ht="16" customHeight="1">
      <c r="B90" s="88" t="inlineStr">
        <is>
          <t xml:space="preserve">Notes: Sales are shown as recorded in the dataset. The dataset has no currency field, so no currency symbol is applied.</t>
        </is>
      </c>
    </row>
    <row r="91" ht="16" customHeight="1">
      <c r="B91" s="88" t="inlineStr">
        <is>
          <t xml:space="preserve">KPI cards and PivotCharts respond to the three slicers; refresh the PivotTables after changing source data.</t>
        </is>
      </c>
    </row>
    <row r="92" ht="16" customHeight="1">
      <c r="B92" s="88" t="inlineStr">
        <is>
          <t xml:space="preserve">Item counts are dataset records, not independently verified units sold.</t>
        </is>
      </c>
    </row>
    <row r="93" ht="8" customHeight="1"/>
  </sheetData>
  <mergeCells count="4">
    <mergeCell ref="B19:L19"/>
    <mergeCell ref="N19:X19"/>
    <mergeCell ref="Z19:AJ19"/>
    <mergeCell ref="AL19:AV19"/>
  </mergeCells>
  <hyperlinks>
    <hyperlink ref="C88" location="'Dashboard Analysis'!A1" display="Open Dashboard Analysis: PivotTables and KPI support data"/>
    <hyperlink ref="C89" location="'BlinkIT Grocery Data'!A1" display="Open 'BlinkIT Grocery Data': source table (8,523 records)"/>
  </hyperlinks>
  <printOptions horizontalCentered="1"/>
  <pageMargins left="0.4" right="0.4" top="0.4" bottom="0.4" header="0.2" footer="0.2"/>
  <pageSetup orientation="landscape" fitToHeight="0" r:id="rId1"/>
  <rowBreaks count="2" manualBreakCount="2">
    <brk id="35" max="16383" man="1"/>
    <brk id="70" max="16383" man="1"/>
  </rowBreaks>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F1" workbookViewId="0">
      <selection activeCell="E2" sqref="E2:L2"/>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1612</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Analysis</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Gaznavi Sheikh</cp:lastModifiedBy>
  <dcterms:created xsi:type="dcterms:W3CDTF">2024-06-23T13:11:17Z</dcterms:created>
  <dcterms:modified xsi:type="dcterms:W3CDTF">2025-11-23T05:14:55Z</dcterms:modified>
</cp:coreProperties>
</file>